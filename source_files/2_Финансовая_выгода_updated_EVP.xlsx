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Violetta1404/Downloads/"/>
    </mc:Choice>
  </mc:AlternateContent>
  <xr:revisionPtr revIDLastSave="0" documentId="13_ncr:1_{E2A151D2-2162-2846-88E5-258BE2B6678B}" xr6:coauthVersionLast="47" xr6:coauthVersionMax="47" xr10:uidLastSave="{00000000-0000-0000-0000-000000000000}"/>
  <bookViews>
    <workbookView xWindow="0" yWindow="660" windowWidth="29400" windowHeight="16680" xr2:uid="{00000000-000D-0000-FFFF-FFFF00000000}"/>
  </bookViews>
  <sheets>
    <sheet name="Эконом. эффективность 2026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5" i="2" l="1"/>
  <c r="B118" i="2"/>
  <c r="B112" i="2"/>
  <c r="B114" i="2" s="1"/>
  <c r="B115" i="2" s="1"/>
  <c r="B119" i="2" s="1"/>
  <c r="B108" i="2"/>
  <c r="B103" i="2"/>
  <c r="B104" i="2" s="1"/>
  <c r="B105" i="2" s="1"/>
  <c r="B109" i="2" s="1"/>
  <c r="B95" i="2"/>
  <c r="B93" i="2"/>
  <c r="B84" i="2"/>
  <c r="B71" i="2"/>
  <c r="B74" i="2" s="1"/>
  <c r="B79" i="2" s="1"/>
  <c r="B65" i="2"/>
  <c r="B64" i="2"/>
  <c r="B67" i="2" s="1"/>
  <c r="B78" i="2" s="1"/>
  <c r="B56" i="2"/>
  <c r="B53" i="2"/>
  <c r="B54" i="2" s="1"/>
  <c r="B48" i="2"/>
  <c r="B50" i="2" s="1"/>
  <c r="B76" i="2" s="1"/>
  <c r="B47" i="2"/>
  <c r="B37" i="2"/>
  <c r="B38" i="2" s="1"/>
  <c r="B28" i="2"/>
  <c r="B22" i="2"/>
  <c r="B24" i="2" s="1"/>
  <c r="B25" i="2" s="1"/>
  <c r="B29" i="2" s="1"/>
  <c r="B33" i="2" s="1"/>
  <c r="B17" i="2"/>
  <c r="B16" i="2"/>
  <c r="B15" i="2"/>
  <c r="B18" i="2" s="1"/>
  <c r="B32" i="2" s="1"/>
  <c r="B9" i="2"/>
  <c r="B10" i="2" s="1"/>
  <c r="B8" i="2"/>
  <c r="B11" i="2" s="1"/>
  <c r="B31" i="2" s="1"/>
  <c r="B35" i="2" s="1"/>
  <c r="B39" i="2" s="1"/>
  <c r="B96" i="2" l="1"/>
  <c r="B97" i="2" s="1"/>
  <c r="B99" i="2" s="1"/>
  <c r="B122" i="2" s="1"/>
  <c r="B126" i="2" s="1"/>
  <c r="B57" i="2"/>
  <c r="B59" i="2" s="1"/>
  <c r="B60" i="2" s="1"/>
  <c r="B77" i="2" s="1"/>
  <c r="B81" i="2" s="1"/>
  <c r="B82" i="2"/>
  <c r="B85" i="2" s="1"/>
  <c r="B86" i="2" l="1"/>
</calcChain>
</file>

<file path=xl/sharedStrings.xml><?xml version="1.0" encoding="utf-8"?>
<sst xmlns="http://schemas.openxmlformats.org/spreadsheetml/2006/main" count="170" uniqueCount="127">
  <si>
    <t>Юнит</t>
  </si>
  <si>
    <t>Продукт</t>
  </si>
  <si>
    <t>Данные</t>
  </si>
  <si>
    <t>Показатели</t>
  </si>
  <si>
    <t>Комментарии</t>
  </si>
  <si>
    <t>Комментарий по изменениям</t>
  </si>
  <si>
    <t>Стажировки</t>
  </si>
  <si>
    <t>Экономическая эффективность за счет зарплат стажеров</t>
  </si>
  <si>
    <t>Стажеров за год (все волны), чел</t>
  </si>
  <si>
    <t>Данные прогнозируем сами или узнаем у клиента</t>
  </si>
  <si>
    <t>Длительность стажировки, месяцев</t>
  </si>
  <si>
    <r>
      <rPr>
        <sz val="11"/>
        <color theme="1"/>
        <rFont val="Arial"/>
        <family val="2"/>
      </rPr>
      <t xml:space="preserve">Коэффицент эффективности стажера vs </t>
    </r>
    <r>
      <rPr>
        <b/>
        <sz val="11"/>
        <color theme="1"/>
        <rFont val="Arial"/>
        <family val="2"/>
      </rPr>
      <t>джун+/спец</t>
    </r>
    <r>
      <rPr>
        <sz val="11"/>
        <color theme="1"/>
        <rFont val="Arial"/>
        <family val="2"/>
      </rPr>
      <t xml:space="preserve"> </t>
    </r>
  </si>
  <si>
    <t>Согласоно исследованию Mühlemann, S. The cost and benefits of work-based learning.  Стажеры, справляются с задачами на 50% менее эффективно, чем специалисты. Подобные исследования проводились в разных странах и среднее значение - 37%.</t>
  </si>
  <si>
    <t>Заработная плата специалиста с рынка для компаний. руб/мес</t>
  </si>
  <si>
    <r>
      <rPr>
        <sz val="11"/>
        <color theme="1"/>
        <rFont val="Arial"/>
        <family val="2"/>
      </rPr>
      <t xml:space="preserve">Стоимость </t>
    </r>
    <r>
      <rPr>
        <b/>
        <sz val="11"/>
        <color theme="1"/>
        <rFont val="Arial"/>
        <family val="2"/>
      </rPr>
      <t>специалиста</t>
    </r>
    <r>
      <rPr>
        <sz val="11"/>
        <color theme="1"/>
        <rFont val="Arial"/>
        <family val="2"/>
      </rPr>
      <t xml:space="preserve"> с рынка для компании с учетом всех затрат, руб/мес</t>
    </r>
  </si>
  <si>
    <t>Зарплата + налоги 60%: 13% - НДФЛ, 30% - соц. взносы, 28 календарных дней отпуска (это 1/12 от зарплаты), 2 недели гос праздников (Новый год + майские и т.д.; это 1/12/2 от зарплаты), 2 недели больничных в год (это 1/12/2 от зарплаты)</t>
  </si>
  <si>
    <t>Дополнительные расходы на сотрудника (налог НДФЛ, соц взносы, 1 месяц отпуска, 2 недели гос праздников, 2 недели больничного и т.д.)</t>
  </si>
  <si>
    <t>Заработная плата стажера с рынка для компаний. руб/мес</t>
  </si>
  <si>
    <t>Стоимость стажера для компании с учетом всех затрат, руб/мес</t>
  </si>
  <si>
    <t>Экономия на зарплатах во время стажировки</t>
  </si>
  <si>
    <t>13% - НДФЛ, 30% - соц. взносы, 28 календарных дней отпуска (это 1/12 от зарплаты), 2 недели гос праздников (Новый год + майские и т.д.; это 1/12/2 от зарплаты), 2 недели больничных в год (это 1/12/2 от зарплаты)</t>
  </si>
  <si>
    <t>Экономия от конверсии в штат</t>
  </si>
  <si>
    <t xml:space="preserve">Средняя заработная плата лидеров/руководителей
</t>
  </si>
  <si>
    <t>Средний % от годовой зарплаты, что возьмет агентство</t>
  </si>
  <si>
    <t>Это рыночный показатель средней стоимости найма через рекрутинговое агентство (15-20%)</t>
  </si>
  <si>
    <t xml:space="preserve">Стоимость внешнего найма
</t>
  </si>
  <si>
    <t>Найм одного специалиста</t>
  </si>
  <si>
    <t>Сколько мы теряем в процессе адаптации специалиста с рынка</t>
  </si>
  <si>
    <t xml:space="preserve">Не менее 6 месяцев до полной эффективности (до года при неэффективной адаптации) по данным Всероссийского исследования корпоративных программ адаптации </t>
  </si>
  <si>
    <t xml:space="preserve">Сколько специалистов мы можем получить </t>
  </si>
  <si>
    <t>Среднее значение конферсии в штат 60% по опыту проведения тсажировок для крупных компаний. Мы берем цифру 30% для учета рисков</t>
  </si>
  <si>
    <t>Эффект от перехода стажеров в штатных специалистов</t>
  </si>
  <si>
    <t>Экономический эффект от снижения расходов на привлечение новых кандидатов после влияния бренда работодателя</t>
  </si>
  <si>
    <t>З/п специалиста среднего звена на рынке в месяц</t>
  </si>
  <si>
    <t>З/п специалиста среднего звена на рынке в год</t>
  </si>
  <si>
    <t>Стоимость найма нового сотрудника в год</t>
  </si>
  <si>
    <t>Снижение расходов на привлечение нового сотрудника после проведения стажировки</t>
  </si>
  <si>
    <r>
      <rPr>
        <i/>
        <u/>
        <sz val="8"/>
        <color rgb="FF1155CC"/>
        <rFont val="Arial"/>
        <family val="2"/>
      </rPr>
      <t xml:space="preserve">Согласно Linkedin, в среднем компании с более сильным брендом работодателя экономят на поиске и привлечение кандидатов до 43%: </t>
    </r>
    <r>
      <rPr>
        <i/>
        <u/>
        <sz val="8"/>
        <color rgb="FF1155CC"/>
        <rFont val="Arial"/>
        <family val="2"/>
      </rPr>
      <t xml:space="preserve">https://hrmessenger.com/pochemu_hr_dolzhen_dumat_kak_marketolog. Для консервативного сценария мы снижаем эту цифру в 3 раза. </t>
    </r>
  </si>
  <si>
    <t>Количество сотрудников в компании</t>
  </si>
  <si>
    <t>% найма от количества сотрудников в год</t>
  </si>
  <si>
    <t>NACE Job Outlook</t>
  </si>
  <si>
    <t>Объем найма специалистов среднего звена в год (чел.)</t>
  </si>
  <si>
    <t>Экономический эффект от влияния на бренд работодателя</t>
  </si>
  <si>
    <t>Итоговый экономический эффект от стажировки</t>
  </si>
  <si>
    <t>Экономический эффект от реализации стажировки</t>
  </si>
  <si>
    <t>Экономический эффект от снижения расходов на привлечение новых кандидатов после проведения стажировки</t>
  </si>
  <si>
    <t>Итоговый экономический эффект от проведения Марафона Роста на 500 человек</t>
  </si>
  <si>
    <t>Стоимость программы стажировки от Changellenge &gt;&gt;</t>
  </si>
  <si>
    <t>Изменяемый показатель</t>
  </si>
  <si>
    <t>Стоимость работы команды Партнера</t>
  </si>
  <si>
    <t>ФОТ на команду работы с молодежью 
+(0,2 ФТЕ менеджера и 0,5 ФТЕ мидла/джуна работающего и отвечающего за стажерскую программу + 0,5 ФТЕ рекрутера)
+ налоги 60%
+ ФОТ наставников, обучения итд (в среднем 50% в полугодие)</t>
  </si>
  <si>
    <t>Затраты</t>
  </si>
  <si>
    <t>ROI (1 год) = (Выгоды − Затраты) / Затраты</t>
  </si>
  <si>
    <t>Марафон роста / Кейс-чемпионат для сотрудников</t>
  </si>
  <si>
    <t>Экономический эффект от повышения эффективности сотрудника по итогу проекта</t>
  </si>
  <si>
    <t>Количество участников</t>
  </si>
  <si>
    <t>Средняя зарплата участника проекта в месяц</t>
  </si>
  <si>
    <t>Расход на ФОТ в месяц</t>
  </si>
  <si>
    <t xml:space="preserve">Повышения эффективности сотрудников по итогу проекта </t>
  </si>
  <si>
    <t>По данным исследования Stanford University, команды с высоким уровнем взаимодействия работают на 50% продуктивнее. Мы берем цифру в 3 раза меньше для адаптации к российскому рынку и учет иных возможных факторов</t>
  </si>
  <si>
    <t xml:space="preserve">Эффект от R&amp;D или краудсорсинга </t>
  </si>
  <si>
    <t>Экономическая эффективность инвестиций в EVP из-за возможности не переплачивать сотрудникам</t>
  </si>
  <si>
    <t>Количество людей, что работают над кейсом или заданием</t>
  </si>
  <si>
    <t>Средняя зарплата в компании после вычета налогов, в месяц</t>
  </si>
  <si>
    <t>Средняя зарплата в компании с учетом налогов</t>
  </si>
  <si>
    <t>Средняя зарплата в компании после вычета налогов, в год</t>
  </si>
  <si>
    <t>Стоимость 20 часов работы сотрудников</t>
  </si>
  <si>
    <t>20 часов - среднее количество времени которое тратят сотрудники при участии в марафоне роста. Расчет строиться от общего количества часов в месяц - 168</t>
  </si>
  <si>
    <t xml:space="preserve">Стоимость проекта с Changellenge &gt;&gt; </t>
  </si>
  <si>
    <t>ФОТ команды реализации с налогами (3 месяца)</t>
  </si>
  <si>
    <t>ФОТ на команду работы: 
0,3 ФТЕ менеджера и 1 ФТЕ мидла/джуна работающего и отвечающего за проект + 0,25 ФТЕ Эксперта по кейсу + 5 члена жюри в день финала (с учетом времени на подготовку)</t>
  </si>
  <si>
    <t>Общие затраты на R&amp;D</t>
  </si>
  <si>
    <t>Количество реализованных идей</t>
  </si>
  <si>
    <t>Эффект от внедрения идей. Увеличение темпа роста выручки в год с одной идеи</t>
  </si>
  <si>
    <t xml:space="preserve">Исследование Hall, Mairesse, Mohnen — Measuring the Returns to R&amp;D Внутри обзора есть ориентиры по ставкам возврата. Например, в одном из блоков по кейс-стади указано: медианная частная ставка возврата около 25%, медианная социальная ставка возврата около 56%. А значит идеи приносят на 25% больше, чем затраты на их реализацию. Для упрощения мы берем цифру в 2 раза меньше. </t>
  </si>
  <si>
    <t>Эффект от R&amp;D или краудсорсинга</t>
  </si>
  <si>
    <t>Поиск лидеров в команде</t>
  </si>
  <si>
    <t xml:space="preserve">Найм одного лидера
</t>
  </si>
  <si>
    <t>Экономический эффект в год: сумма расходов на повышение зарплаты и на дополнительные расходы на сотрудника</t>
  </si>
  <si>
    <t>Сколько мы теряем в процессе адаптации руководителя с рынка</t>
  </si>
  <si>
    <t>Экономический эффект от снижения текучки после создания бренда работодателя</t>
  </si>
  <si>
    <t xml:space="preserve">Сколько лидеров мы можем получить </t>
  </si>
  <si>
    <t>В среднем до 10 человек за один проект. Берем цифру в 2 раза меньше</t>
  </si>
  <si>
    <t>Эффект от поиска лидера среди участников</t>
  </si>
  <si>
    <t>Эффект от того, что лучше ИИ используют</t>
  </si>
  <si>
    <t>На сколько мы снижаем текучесть</t>
  </si>
  <si>
    <t xml:space="preserve">Процент сотрудников, которые повысят свою эффектиность </t>
  </si>
  <si>
    <r>
      <rPr>
        <i/>
        <u/>
        <sz val="8"/>
        <color rgb="FF1155CC"/>
        <rFont val="Arial"/>
        <family val="2"/>
      </rPr>
      <t xml:space="preserve">BCG workforce benchmark: 42% регулярных пользователей ИИ заявили, что экономят целый рабочий день в неделю или больше 
</t>
    </r>
    <r>
      <rPr>
        <i/>
        <sz val="8"/>
        <color rgb="FF1F1F1F"/>
        <rFont val="Arial"/>
        <family val="2"/>
      </rPr>
      <t>Для упрощения берем цифру в три раза меньше - 1 день в 3 недели (или 4 дня за 3 месяца)</t>
    </r>
  </si>
  <si>
    <t>Текучесть после внедрения активности</t>
  </si>
  <si>
    <t>Сколько мы сэномим от повышения эффектиновности сотрудников</t>
  </si>
  <si>
    <t>На сколько меньше людей нужно нанимать</t>
  </si>
  <si>
    <t>В 3 месяцах примерно 66 рабочих дней (22 дня × 3).
Вы сэкономили 4 дня → новая длительность = 62 дня.
Прирост эффективности = (66 / 62 − 1) × 100% = ≈ 6,45%.</t>
  </si>
  <si>
    <t>Эффект от качественного использования ИИ в работе участников за один месяц</t>
  </si>
  <si>
    <t>Средняя зарплата в компании в месяц после вычета налогов</t>
  </si>
  <si>
    <t>Стоимость найма нового сотрудника, % от годового дохода</t>
  </si>
  <si>
    <t>Эффект от R&amp;D или краудсорсинга на Марафоне Роста</t>
  </si>
  <si>
    <t>Стоимость найма нового сотрудника</t>
  </si>
  <si>
    <t>Эффект от поиска лидеров среди участников</t>
  </si>
  <si>
    <t>Экономический эффект от снижения текучки после создания EVP</t>
  </si>
  <si>
    <t>Экономический эффект от снижения расходов на привлечение новых кандидатов после развития бренда работодателя</t>
  </si>
  <si>
    <t>Снижение расходов на привлечение нового сотрудника после внедрения EVP</t>
  </si>
  <si>
    <t>EVP (активация)</t>
  </si>
  <si>
    <t>% найма от количества сотрудников</t>
  </si>
  <si>
    <t xml:space="preserve">Количество новых сотрудников в год </t>
  </si>
  <si>
    <t>Экономический эффект от снижения расходов на привлечение новых кандидатов после внедрения EVP</t>
  </si>
  <si>
    <t>количество сотрудников * на текучку</t>
  </si>
  <si>
    <t>Расходы на ФОТ новых сотрудников (без учета налогов и отчислений)</t>
  </si>
  <si>
    <t>Новая строчка, т.к. старые сотрудники уже учтены ниже и получается задвоение</t>
  </si>
  <si>
    <t>Индекс аутентичности</t>
  </si>
  <si>
    <t>Переплата зарплаты из-за слабого HR-бренда 3%</t>
  </si>
  <si>
    <r>
      <rPr>
        <i/>
        <sz val="8"/>
        <rFont val="Arial"/>
        <family val="2"/>
      </rPr>
      <t>Исследование Wade Burgess, опубликованное в Harvard Business Review, говорит “Компании со слабым брендом работодателя переплачивают сотрудникам примерно 10% заработной платы” (</t>
    </r>
    <r>
      <rPr>
        <i/>
        <u/>
        <sz val="8"/>
        <color rgb="FF1155CC"/>
        <rFont val="Arial"/>
        <family val="2"/>
      </rPr>
      <t>https://hbr.org/2016/03/a-bad-reputation-costs-company-at-least-10-more-per-hire</t>
    </r>
    <r>
      <rPr>
        <i/>
        <sz val="8"/>
        <rFont val="Arial"/>
        <family val="2"/>
      </rPr>
      <t>). При этом мы берем консервативную оценку и понижаем цифру с 10% в три раза до 3%</t>
    </r>
  </si>
  <si>
    <t>Экономический эффект от разработки EVP (Сумма эффектов на индекс аутентичности</t>
  </si>
  <si>
    <t>эта переплата возникает только при найме новых сотрудников.</t>
  </si>
  <si>
    <t>Дополнительные расходы на сотрудника (налог НДФЛ, соц взносы, 1 неделя больничного и т.д.)</t>
  </si>
  <si>
    <t>13% - НДФЛ, 30% - соц. взносы, 1 неделя больничных в год (это 1/12/4 от зарплаты)</t>
  </si>
  <si>
    <t>Убрали отпуск т.к. он учтен в ЗП, изменили с 58 до 52</t>
  </si>
  <si>
    <t>Годовая текучесть до внедрения проекта</t>
  </si>
  <si>
    <r>
      <rPr>
        <i/>
        <sz val="8"/>
        <color rgb="FF7622D7"/>
        <rFont val="Arial"/>
        <family val="2"/>
      </rPr>
      <t xml:space="preserve">According to </t>
    </r>
    <r>
      <rPr>
        <i/>
        <u/>
        <sz val="8"/>
        <color rgb="FF7622D7"/>
        <rFont val="Arial"/>
        <family val="2"/>
      </rPr>
      <t>Gartner</t>
    </r>
    <r>
      <rPr>
        <i/>
        <sz val="8"/>
        <color rgb="FF7622D7"/>
        <rFont val="Arial"/>
        <family val="2"/>
      </rPr>
      <t>, companies with a strong EVP reduce annual employee turnover by over two-thirds (69%) and increase new hire commitments by nearly 30%. Мы берем консервативную оценку: 69% / 3 = 23%</t>
    </r>
  </si>
  <si>
    <t>Увеличили, как в 1-м</t>
  </si>
  <si>
    <t>Это рыночный показатель средней стоимости найма через рекрутинговое агентство (15-30%)</t>
  </si>
  <si>
    <t xml:space="preserve">увеличили с 20 до 30%, а % до 22, среднее между </t>
  </si>
  <si>
    <t>Поменяла</t>
  </si>
  <si>
    <t>Подняли до 22</t>
  </si>
  <si>
    <r>
      <rPr>
        <i/>
        <sz val="8"/>
        <rFont val="Arial"/>
        <family val="2"/>
      </rPr>
      <t xml:space="preserve">Согласно Linkedin, в среднем компании с более сильным брендом работодателя экономят на поиск и привлечение кандидатов до 43%: </t>
    </r>
    <r>
      <rPr>
        <i/>
        <u/>
        <sz val="8"/>
        <color rgb="FF1155CC"/>
        <rFont val="Arial"/>
        <family val="2"/>
      </rPr>
      <t xml:space="preserve">https://hrmessenger.com/pochemu_hr_dolzhen_dumat_kak_marketolog. Для консервативного сценария мы снижаем эту цифру в 3 раза. </t>
    </r>
  </si>
  <si>
    <t>понижающий коэффициент, который уменьшает рассчитанный экономический эффект, чтобы сделать модель более реалистичной</t>
  </si>
  <si>
    <t>Изменили, 1/3</t>
  </si>
  <si>
    <t xml:space="preserve">Примерные затраты на активацию EVP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</si>
</sst>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[$ ₽]"/>
    <numFmt numFmtId="165" formatCode="0.0%"/>
    <numFmt numFmtId="167" formatCode="[$р.-419]#,##0"/>
    <numFmt numFmtId="168" formatCode="_-* #,##0\ &quot;₽&quot;_-;\-* #,##0\ &quot;₽&quot;_-;_-* &quot;-&quot;??\ &quot;₽&quot;_-;_-@"/>
  </numFmts>
  <fonts count="30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rgb="FF000000"/>
      <name val="Arial"/>
      <family val="2"/>
    </font>
    <font>
      <i/>
      <sz val="8"/>
      <color theme="1"/>
      <name val="Arial"/>
      <family val="2"/>
      <scheme val="minor"/>
    </font>
    <font>
      <b/>
      <i/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Calibri"/>
      <family val="2"/>
    </font>
    <font>
      <b/>
      <i/>
      <sz val="11"/>
      <color theme="1"/>
      <name val="Arial"/>
      <family val="2"/>
    </font>
    <font>
      <i/>
      <sz val="8"/>
      <color theme="1"/>
      <name val="Arial"/>
      <family val="2"/>
    </font>
    <font>
      <i/>
      <u/>
      <sz val="8"/>
      <color rgb="FF1155CC"/>
      <name val="Arial"/>
      <family val="2"/>
    </font>
    <font>
      <i/>
      <u/>
      <sz val="8"/>
      <color rgb="FF0000FF"/>
      <name val="Arial"/>
      <family val="2"/>
    </font>
    <font>
      <b/>
      <sz val="10"/>
      <color rgb="FF980000"/>
      <name val="Arial"/>
      <family val="2"/>
    </font>
    <font>
      <b/>
      <i/>
      <sz val="10"/>
      <color rgb="FF980000"/>
      <name val="Arial"/>
      <family val="2"/>
    </font>
    <font>
      <u/>
      <sz val="8"/>
      <color rgb="FF1155CC"/>
      <name val="Arial"/>
      <family val="2"/>
    </font>
    <font>
      <i/>
      <u/>
      <sz val="8"/>
      <color rgb="FF1155CC"/>
      <name val="Arial"/>
      <family val="2"/>
    </font>
    <font>
      <i/>
      <u/>
      <sz val="8"/>
      <color rgb="FF0000FF"/>
      <name val="Arial"/>
      <family val="2"/>
    </font>
    <font>
      <i/>
      <u/>
      <sz val="8"/>
      <color rgb="FF7622D7"/>
      <name val="Roobert"/>
    </font>
    <font>
      <i/>
      <sz val="8"/>
      <color rgb="FF7622D7"/>
      <name val="Roobert"/>
    </font>
    <font>
      <i/>
      <sz val="8"/>
      <color rgb="FF000000"/>
      <name val="Roobert"/>
    </font>
    <font>
      <i/>
      <u/>
      <sz val="8"/>
      <color rgb="FF0000FF"/>
      <name val="Arial"/>
      <family val="2"/>
    </font>
    <font>
      <i/>
      <sz val="8"/>
      <name val="Arial"/>
      <family val="2"/>
    </font>
    <font>
      <i/>
      <sz val="8"/>
      <color rgb="FF7622D7"/>
      <name val="Arial"/>
      <family val="2"/>
    </font>
    <font>
      <i/>
      <u/>
      <sz val="8"/>
      <color rgb="FF7622D7"/>
      <name val="Arial"/>
      <family val="2"/>
    </font>
    <font>
      <i/>
      <sz val="8"/>
      <color rgb="FF1F1F1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wrapText="1"/>
    </xf>
    <xf numFmtId="164" fontId="5" fillId="0" borderId="0" xfId="0" applyNumberFormat="1" applyFont="1"/>
    <xf numFmtId="0" fontId="7" fillId="4" borderId="0" xfId="0" applyFont="1" applyFill="1" applyAlignment="1">
      <alignment horizontal="left" vertical="center" wrapText="1"/>
    </xf>
    <xf numFmtId="0" fontId="5" fillId="0" borderId="0" xfId="0" applyFont="1"/>
    <xf numFmtId="164" fontId="5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9" fillId="4" borderId="0" xfId="0" applyFont="1" applyFill="1" applyAlignment="1">
      <alignment wrapText="1"/>
    </xf>
    <xf numFmtId="3" fontId="5" fillId="0" borderId="0" xfId="0" applyNumberFormat="1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10" fillId="0" borderId="0" xfId="0" applyFont="1" applyAlignment="1">
      <alignment wrapText="1"/>
    </xf>
    <xf numFmtId="1" fontId="10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 wrapText="1"/>
    </xf>
    <xf numFmtId="9" fontId="5" fillId="0" borderId="0" xfId="0" applyNumberFormat="1" applyFont="1" applyAlignment="1">
      <alignment horizontal="right" vertical="center" wrapText="1"/>
    </xf>
    <xf numFmtId="10" fontId="11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wrapText="1"/>
    </xf>
    <xf numFmtId="3" fontId="10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wrapText="1"/>
    </xf>
    <xf numFmtId="9" fontId="5" fillId="0" borderId="0" xfId="0" applyNumberFormat="1" applyFont="1" applyAlignment="1">
      <alignment horizontal="right" wrapText="1"/>
    </xf>
    <xf numFmtId="0" fontId="6" fillId="0" borderId="0" xfId="0" applyFont="1" applyAlignment="1">
      <alignment wrapText="1"/>
    </xf>
    <xf numFmtId="3" fontId="6" fillId="0" borderId="0" xfId="0" applyNumberFormat="1" applyFont="1" applyAlignment="1">
      <alignment horizontal="center" wrapText="1"/>
    </xf>
    <xf numFmtId="0" fontId="13" fillId="4" borderId="0" xfId="0" applyFont="1" applyFill="1" applyAlignment="1">
      <alignment wrapText="1"/>
    </xf>
    <xf numFmtId="10" fontId="5" fillId="0" borderId="0" xfId="0" applyNumberFormat="1" applyFont="1"/>
    <xf numFmtId="164" fontId="10" fillId="0" borderId="0" xfId="0" applyNumberFormat="1" applyFont="1" applyAlignment="1">
      <alignment horizontal="right" wrapText="1"/>
    </xf>
    <xf numFmtId="9" fontId="10" fillId="0" borderId="0" xfId="0" applyNumberFormat="1" applyFont="1" applyAlignment="1">
      <alignment horizontal="right"/>
    </xf>
    <xf numFmtId="0" fontId="14" fillId="0" borderId="0" xfId="0" applyFont="1" applyAlignment="1">
      <alignment horizontal="center" wrapText="1"/>
    </xf>
    <xf numFmtId="164" fontId="10" fillId="0" borderId="0" xfId="0" applyNumberFormat="1" applyFont="1" applyAlignment="1">
      <alignment horizontal="right"/>
    </xf>
    <xf numFmtId="0" fontId="15" fillId="0" borderId="0" xfId="0" applyFont="1" applyAlignment="1">
      <alignment horizontal="center" wrapText="1"/>
    </xf>
    <xf numFmtId="3" fontId="10" fillId="0" borderId="0" xfId="0" applyNumberFormat="1" applyFont="1" applyAlignment="1">
      <alignment horizontal="right"/>
    </xf>
    <xf numFmtId="0" fontId="13" fillId="0" borderId="0" xfId="0" applyFont="1" applyAlignment="1">
      <alignment wrapText="1"/>
    </xf>
    <xf numFmtId="164" fontId="6" fillId="0" borderId="0" xfId="0" applyNumberFormat="1" applyFont="1" applyAlignment="1">
      <alignment horizontal="right"/>
    </xf>
    <xf numFmtId="0" fontId="5" fillId="0" borderId="1" xfId="0" applyFont="1" applyBorder="1"/>
    <xf numFmtId="9" fontId="5" fillId="0" borderId="0" xfId="0" applyNumberFormat="1" applyFont="1"/>
    <xf numFmtId="9" fontId="10" fillId="0" borderId="0" xfId="0" applyNumberFormat="1" applyFont="1" applyAlignment="1">
      <alignment horizontal="right" wrapText="1"/>
    </xf>
    <xf numFmtId="3" fontId="10" fillId="0" borderId="0" xfId="0" applyNumberFormat="1" applyFont="1" applyAlignment="1">
      <alignment horizontal="right" wrapText="1"/>
    </xf>
    <xf numFmtId="0" fontId="16" fillId="0" borderId="0" xfId="0" applyFont="1" applyAlignment="1">
      <alignment horizontal="center" wrapText="1"/>
    </xf>
    <xf numFmtId="164" fontId="6" fillId="0" borderId="0" xfId="0" applyNumberFormat="1" applyFont="1" applyAlignment="1">
      <alignment horizontal="right" wrapText="1"/>
    </xf>
    <xf numFmtId="0" fontId="4" fillId="0" borderId="0" xfId="0" applyFont="1" applyAlignment="1">
      <alignment vertical="center" wrapText="1"/>
    </xf>
    <xf numFmtId="0" fontId="5" fillId="5" borderId="0" xfId="0" applyFont="1" applyFill="1"/>
    <xf numFmtId="0" fontId="5" fillId="6" borderId="0" xfId="0" applyFont="1" applyFill="1"/>
    <xf numFmtId="0" fontId="17" fillId="0" borderId="0" xfId="0" applyFont="1" applyAlignment="1">
      <alignment wrapText="1"/>
    </xf>
    <xf numFmtId="0" fontId="4" fillId="0" borderId="0" xfId="0" applyFont="1" applyAlignment="1">
      <alignment wrapText="1"/>
    </xf>
    <xf numFmtId="167" fontId="18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horizontal="right"/>
    </xf>
    <xf numFmtId="0" fontId="6" fillId="7" borderId="0" xfId="0" applyFont="1" applyFill="1" applyAlignment="1">
      <alignment wrapText="1"/>
    </xf>
    <xf numFmtId="9" fontId="6" fillId="7" borderId="0" xfId="0" applyNumberFormat="1" applyFont="1" applyFill="1" applyAlignment="1">
      <alignment horizontal="right"/>
    </xf>
    <xf numFmtId="0" fontId="5" fillId="8" borderId="0" xfId="0" applyFont="1" applyFill="1"/>
    <xf numFmtId="3" fontId="5" fillId="0" borderId="0" xfId="0" applyNumberFormat="1" applyFont="1" applyAlignment="1">
      <alignment horizontal="right" wrapText="1"/>
    </xf>
    <xf numFmtId="164" fontId="5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 wrapText="1"/>
    </xf>
    <xf numFmtId="0" fontId="19" fillId="0" borderId="0" xfId="0" applyFont="1" applyAlignment="1">
      <alignment horizontal="center" wrapText="1"/>
    </xf>
    <xf numFmtId="164" fontId="9" fillId="0" borderId="0" xfId="0" applyNumberFormat="1" applyFont="1" applyAlignment="1">
      <alignment horizontal="right"/>
    </xf>
    <xf numFmtId="0" fontId="5" fillId="0" borderId="0" xfId="0" applyFont="1" applyAlignment="1">
      <alignment horizontal="right" wrapText="1"/>
    </xf>
    <xf numFmtId="168" fontId="5" fillId="0" borderId="0" xfId="0" applyNumberFormat="1" applyFont="1" applyAlignment="1">
      <alignment horizontal="right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164" fontId="9" fillId="0" borderId="0" xfId="0" applyNumberFormat="1" applyFont="1" applyAlignment="1">
      <alignment horizontal="right" wrapText="1"/>
    </xf>
    <xf numFmtId="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/>
    </xf>
    <xf numFmtId="3" fontId="1" fillId="0" borderId="0" xfId="0" applyNumberFormat="1" applyFont="1" applyAlignment="1">
      <alignment horizontal="right" wrapText="1"/>
    </xf>
    <xf numFmtId="0" fontId="9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10" fontId="5" fillId="0" borderId="0" xfId="0" applyNumberFormat="1" applyFont="1" applyAlignment="1">
      <alignment horizontal="right"/>
    </xf>
    <xf numFmtId="0" fontId="24" fillId="0" borderId="0" xfId="0" applyFont="1" applyAlignment="1">
      <alignment horizontal="center" wrapText="1"/>
    </xf>
    <xf numFmtId="164" fontId="18" fillId="0" borderId="0" xfId="0" applyNumberFormat="1" applyFont="1" applyAlignment="1">
      <alignment horizontal="right"/>
    </xf>
    <xf numFmtId="10" fontId="4" fillId="0" borderId="0" xfId="0" applyNumberFormat="1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3" fontId="5" fillId="9" borderId="0" xfId="0" applyNumberFormat="1" applyFont="1" applyFill="1" applyAlignment="1">
      <alignment horizontal="right" wrapText="1"/>
    </xf>
    <xf numFmtId="0" fontId="7" fillId="3" borderId="0" xfId="0" applyFont="1" applyFill="1" applyAlignment="1">
      <alignment horizontal="left" vertical="center" wrapText="1"/>
    </xf>
    <xf numFmtId="9" fontId="2" fillId="3" borderId="0" xfId="0" applyNumberFormat="1" applyFont="1" applyFill="1" applyAlignment="1">
      <alignment vertical="center"/>
    </xf>
    <xf numFmtId="0" fontId="8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center"/>
    </xf>
    <xf numFmtId="164" fontId="5" fillId="5" borderId="0" xfId="0" applyNumberFormat="1" applyFont="1" applyFill="1" applyAlignment="1">
      <alignment horizontal="right" wrapText="1"/>
    </xf>
    <xf numFmtId="9" fontId="1" fillId="9" borderId="0" xfId="0" applyNumberFormat="1" applyFont="1" applyFill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cg.com/press/3june2026-ia-au-travail-jusqua-une-journee-economisee-par-semaine?" TargetMode="External"/><Relationship Id="rId3" Type="http://schemas.openxmlformats.org/officeDocument/2006/relationships/hyperlink" Target="https://hrmessenger.com/pochemu_hr_dolzhen_dumat_kak_marketolog" TargetMode="External"/><Relationship Id="rId7" Type="http://schemas.openxmlformats.org/officeDocument/2006/relationships/hyperlink" Target="https://www.linkedin.com/pulse/%D0%B8%D0%BD%D1%82%D0%B5%D1%80%D0%B5%D1%81%D0%BD%D1%8B%D0%B5-%D1%84%D0%B0%D0%BA%D1%82%D1%8B-%D0%BE%D0%B1-%D0%B0%D0%B4%D0%B0%D0%BF%D1%82%D0%B0%D1%86%D0%B8%D0%B8-%D1%81%D0%BE%D1%82%D1%80%D1%83%D0%B4%D0%BD%D0%B8%D0%BA%D0%BE%D0%B2-evgeniy-vanetik-tvj9f?originalSubdomain=ru" TargetMode="External"/><Relationship Id="rId2" Type="http://schemas.openxmlformats.org/officeDocument/2006/relationships/hyperlink" Target="https://www.gartner.com/en/newsroom/press-releases/2020-05-25-gartner-hr-research-shows-organizations-must-reinvent-their-employment-value-proposition-to-deliver-a-more-human-deal" TargetMode="External"/><Relationship Id="rId1" Type="http://schemas.openxmlformats.org/officeDocument/2006/relationships/hyperlink" Target="https://www.linkedin.com/pulse/%D0%B8%D0%BD%D1%82%D0%B5%D1%80%D0%B5%D1%81%D0%BD%D1%8B%D0%B5-%D1%84%D0%B0%D0%BA%D1%82%D1%8B-%D0%BE%D0%B1-%D0%B0%D0%B4%D0%B0%D0%BF%D1%82%D0%B0%D1%86%D0%B8%D0%B8-%D1%81%D0%BE%D1%82%D1%80%D1%83%D0%B4%D0%BD%D0%B8%D0%BA%D0%BE%D0%B2-evgeniy-vanetik-tvj9f?originalSubdomain=ru" TargetMode="External"/><Relationship Id="rId6" Type="http://schemas.openxmlformats.org/officeDocument/2006/relationships/hyperlink" Target="https://eml.berkeley.edu/~bhhall/papers/HallMairesseMohnen09_rndsurvey_HEI.pdf" TargetMode="External"/><Relationship Id="rId11" Type="http://schemas.openxmlformats.org/officeDocument/2006/relationships/hyperlink" Target="https://hrmessenger.com/pochemu_hr_dolzhen_dumat_kak_marketolog" TargetMode="External"/><Relationship Id="rId5" Type="http://schemas.openxmlformats.org/officeDocument/2006/relationships/hyperlink" Target="https://www.playtours.app/post/how-team-building-positively-impacts-employee-experience-with-statistical-evidence" TargetMode="External"/><Relationship Id="rId10" Type="http://schemas.openxmlformats.org/officeDocument/2006/relationships/hyperlink" Target="https://www.gartner.com/en/newsroom/press-releases/2020-05-25-gartner-hr-research-shows-organizations-must-reinvent-their-employment-value-proposition-to-deliver-a-more-human-deal" TargetMode="External"/><Relationship Id="rId4" Type="http://schemas.openxmlformats.org/officeDocument/2006/relationships/hyperlink" Target="https://www.naceweb.org/talent-acquisition/trends-and-predictions/hiring-up-7-point-3-percent-for-the-college-class-of-2025" TargetMode="External"/><Relationship Id="rId9" Type="http://schemas.openxmlformats.org/officeDocument/2006/relationships/hyperlink" Target="https://hbr.org/2016/03/a-bad-reputation-costs-company-at-least-10-more-per-hi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3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C1:C1048576"/>
    </sheetView>
  </sheetViews>
  <sheetFormatPr baseColWidth="10" defaultColWidth="12.6640625" defaultRowHeight="15.75" customHeight="1"/>
  <cols>
    <col min="1" max="1" width="48.6640625" customWidth="1"/>
    <col min="2" max="2" width="17.83203125" customWidth="1"/>
    <col min="3" max="3" width="54.33203125" customWidth="1"/>
    <col min="5" max="5" width="40.5" customWidth="1"/>
    <col min="6" max="6" width="26.16406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 t="s">
        <v>6</v>
      </c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4"/>
      <c r="Z2" s="4"/>
    </row>
    <row r="3" spans="1:26" ht="15.75" customHeight="1">
      <c r="A3" s="11" t="s">
        <v>7</v>
      </c>
      <c r="B3" s="12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4"/>
      <c r="Z3" s="4"/>
    </row>
    <row r="4" spans="1:26" ht="15.75" customHeight="1">
      <c r="A4" s="15" t="s">
        <v>8</v>
      </c>
      <c r="B4" s="16">
        <v>200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4"/>
      <c r="Z4" s="4"/>
    </row>
    <row r="5" spans="1:26" ht="15.75" customHeight="1">
      <c r="A5" s="15" t="s">
        <v>10</v>
      </c>
      <c r="B5" s="17">
        <v>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4"/>
      <c r="Z5" s="4"/>
    </row>
    <row r="6" spans="1:26">
      <c r="A6" s="15" t="s">
        <v>11</v>
      </c>
      <c r="B6" s="19">
        <v>0.37</v>
      </c>
      <c r="C6" s="21" t="s">
        <v>12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4"/>
      <c r="Z6" s="4"/>
    </row>
    <row r="7" spans="1:26" ht="15.75" customHeight="1">
      <c r="A7" s="15" t="s">
        <v>13</v>
      </c>
      <c r="B7" s="22">
        <v>150000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4"/>
      <c r="Z7" s="4"/>
    </row>
    <row r="8" spans="1:26">
      <c r="A8" s="15" t="s">
        <v>14</v>
      </c>
      <c r="B8" s="22">
        <f>B7*1.6</f>
        <v>240000</v>
      </c>
      <c r="C8" s="21" t="s">
        <v>15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4"/>
      <c r="Z8" s="4"/>
    </row>
    <row r="9" spans="1:26" ht="15.75" customHeight="1">
      <c r="A9" s="15" t="s">
        <v>17</v>
      </c>
      <c r="B9" s="22">
        <f>70000</f>
        <v>70000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4"/>
      <c r="Z9" s="4"/>
    </row>
    <row r="10" spans="1:26">
      <c r="A10" s="15" t="s">
        <v>18</v>
      </c>
      <c r="B10" s="22">
        <f>B9*1.6</f>
        <v>112000</v>
      </c>
      <c r="C10" s="21" t="s">
        <v>15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4"/>
      <c r="Z10" s="4"/>
    </row>
    <row r="11" spans="1:26" ht="15.75" customHeight="1">
      <c r="A11" s="26" t="s">
        <v>19</v>
      </c>
      <c r="B11" s="27">
        <f>(B8-B10)*B4*B5*B6</f>
        <v>56832000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4"/>
      <c r="Z11" s="4"/>
    </row>
    <row r="12" spans="1:26" ht="15.75" customHeight="1">
      <c r="A12" s="28" t="s">
        <v>21</v>
      </c>
      <c r="B12" s="2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4"/>
      <c r="Z12" s="4"/>
    </row>
    <row r="13" spans="1:26" ht="15.75" customHeight="1">
      <c r="A13" s="15" t="s">
        <v>22</v>
      </c>
      <c r="B13" s="30">
        <v>150000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4"/>
      <c r="Z13" s="4"/>
    </row>
    <row r="14" spans="1:26" ht="15.75" customHeight="1">
      <c r="A14" s="15" t="s">
        <v>25</v>
      </c>
      <c r="B14" s="31">
        <v>0.18</v>
      </c>
      <c r="C14" s="32" t="s">
        <v>24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4"/>
      <c r="Z14" s="4"/>
    </row>
    <row r="15" spans="1:26" ht="15.75" customHeight="1">
      <c r="A15" s="15" t="s">
        <v>26</v>
      </c>
      <c r="B15" s="33">
        <f>B13*12*0.18</f>
        <v>324000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4"/>
      <c r="Z15" s="4"/>
    </row>
    <row r="16" spans="1:26" ht="15.75" customHeight="1">
      <c r="A16" s="15" t="s">
        <v>27</v>
      </c>
      <c r="B16" s="33">
        <f>B13*6</f>
        <v>900000</v>
      </c>
      <c r="C16" s="34" t="s">
        <v>28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4"/>
      <c r="Z16" s="4"/>
    </row>
    <row r="17" spans="1:26" ht="15.75" customHeight="1">
      <c r="A17" s="15" t="s">
        <v>29</v>
      </c>
      <c r="B17" s="35">
        <f>B4*0.3</f>
        <v>60</v>
      </c>
      <c r="C17" s="32" t="s">
        <v>30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4"/>
      <c r="Z17" s="4"/>
    </row>
    <row r="18" spans="1:26" ht="15.75" customHeight="1">
      <c r="A18" s="36" t="s">
        <v>31</v>
      </c>
      <c r="B18" s="37">
        <f>(B15+B16)*B17</f>
        <v>73440000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4"/>
      <c r="Z18" s="4"/>
    </row>
    <row r="19" spans="1:26" ht="15.75" customHeight="1">
      <c r="A19" s="38"/>
      <c r="B19" s="3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4"/>
      <c r="Z19" s="4"/>
    </row>
    <row r="20" spans="1:26" ht="15.75" customHeight="1">
      <c r="A20" s="28" t="s">
        <v>32</v>
      </c>
      <c r="B20" s="12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4"/>
      <c r="Z20" s="4"/>
    </row>
    <row r="21" spans="1:26" ht="15.75" customHeight="1">
      <c r="A21" s="15" t="s">
        <v>33</v>
      </c>
      <c r="B21" s="30">
        <v>150000</v>
      </c>
      <c r="C21" s="32" t="s">
        <v>9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4"/>
      <c r="Z21" s="4"/>
    </row>
    <row r="22" spans="1:26" ht="15.75" customHeight="1">
      <c r="A22" s="15" t="s">
        <v>34</v>
      </c>
      <c r="B22" s="30">
        <f>B21*12</f>
        <v>1800000</v>
      </c>
      <c r="C22" s="32" t="s">
        <v>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4"/>
      <c r="Z22" s="4"/>
    </row>
    <row r="23" spans="1:26" ht="15.75" customHeight="1">
      <c r="A23" s="15" t="s">
        <v>23</v>
      </c>
      <c r="B23" s="40">
        <v>0.18</v>
      </c>
      <c r="C23" s="34" t="s">
        <v>24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4"/>
      <c r="Z23" s="4"/>
    </row>
    <row r="24" spans="1:26" ht="15.75" customHeight="1">
      <c r="A24" s="15" t="s">
        <v>35</v>
      </c>
      <c r="B24" s="30">
        <f>B22*B23</f>
        <v>324000</v>
      </c>
      <c r="C24" s="32" t="s">
        <v>24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4"/>
      <c r="Z24" s="4"/>
    </row>
    <row r="25" spans="1:26" ht="15.75" customHeight="1">
      <c r="A25" s="15" t="s">
        <v>36</v>
      </c>
      <c r="B25" s="30">
        <f>B24*14.3%</f>
        <v>46332.000000000007</v>
      </c>
      <c r="C25" s="34" t="s">
        <v>37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4"/>
      <c r="Z25" s="4"/>
    </row>
    <row r="26" spans="1:26" ht="15.75" customHeight="1">
      <c r="A26" s="15" t="s">
        <v>38</v>
      </c>
      <c r="B26" s="41">
        <v>5000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4"/>
      <c r="Z26" s="4"/>
    </row>
    <row r="27" spans="1:26" ht="15.75" customHeight="1">
      <c r="A27" s="15" t="s">
        <v>39</v>
      </c>
      <c r="B27" s="40">
        <v>0.05</v>
      </c>
      <c r="C27" s="42" t="s">
        <v>40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4"/>
      <c r="Z27" s="4"/>
    </row>
    <row r="28" spans="1:26" ht="15.75" customHeight="1">
      <c r="A28" s="15" t="s">
        <v>41</v>
      </c>
      <c r="B28" s="41">
        <f>B26*B27</f>
        <v>250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4"/>
      <c r="Z28" s="4"/>
    </row>
    <row r="29" spans="1:26" ht="15.75" customHeight="1">
      <c r="A29" s="26" t="s">
        <v>42</v>
      </c>
      <c r="B29" s="43">
        <f>B25*B28</f>
        <v>11583000.000000002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4"/>
      <c r="Z29" s="4"/>
    </row>
    <row r="30" spans="1:26" ht="15.75" customHeight="1">
      <c r="A30" s="28" t="s">
        <v>43</v>
      </c>
      <c r="B30" s="2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4"/>
      <c r="Z30" s="4"/>
    </row>
    <row r="31" spans="1:26" ht="15.75" customHeight="1">
      <c r="A31" s="15" t="s">
        <v>44</v>
      </c>
      <c r="B31" s="22">
        <f>B11</f>
        <v>56832000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4"/>
      <c r="Z31" s="4"/>
    </row>
    <row r="32" spans="1:26" ht="15.75" customHeight="1">
      <c r="A32" s="15" t="s">
        <v>31</v>
      </c>
      <c r="B32" s="22">
        <f>B18</f>
        <v>73440000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"/>
      <c r="Z32" s="4"/>
    </row>
    <row r="33" spans="1:26" ht="15.75" customHeight="1">
      <c r="A33" s="15" t="s">
        <v>45</v>
      </c>
      <c r="B33" s="22">
        <f>B29</f>
        <v>11583000.000000002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"/>
      <c r="Z33" s="4"/>
    </row>
    <row r="34" spans="1:26" ht="15.75" customHeight="1">
      <c r="A34" s="46"/>
      <c r="B34" s="46"/>
      <c r="C34" s="46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"/>
      <c r="Z34" s="4"/>
    </row>
    <row r="35" spans="1:26" ht="15.75" customHeight="1">
      <c r="A35" s="47" t="s">
        <v>46</v>
      </c>
      <c r="B35" s="49">
        <f>SUM(B30:B33)</f>
        <v>141855000</v>
      </c>
      <c r="C35" s="8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"/>
      <c r="Z35" s="4"/>
    </row>
    <row r="36" spans="1:26">
      <c r="A36" s="15" t="s">
        <v>47</v>
      </c>
      <c r="B36" s="22">
        <v>20000000</v>
      </c>
      <c r="C36" s="21" t="s">
        <v>48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"/>
      <c r="Z36" s="4"/>
    </row>
    <row r="37" spans="1:26">
      <c r="A37" s="15" t="s">
        <v>49</v>
      </c>
      <c r="B37" s="22">
        <f>((((300000*0.2)+(0.5*200000)+(100000*0.5)+(170000*0.5))*6)*1.6)*2</f>
        <v>5664000</v>
      </c>
      <c r="C37" s="21" t="s">
        <v>50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"/>
      <c r="Z37" s="4"/>
    </row>
    <row r="38" spans="1:26" ht="15.75" customHeight="1">
      <c r="A38" s="50" t="s">
        <v>51</v>
      </c>
      <c r="B38" s="51">
        <f>SUM(B36:B37)</f>
        <v>25664000</v>
      </c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"/>
      <c r="Z38" s="4"/>
    </row>
    <row r="39" spans="1:26" ht="15.75" customHeight="1">
      <c r="A39" s="52" t="s">
        <v>52</v>
      </c>
      <c r="B39" s="53">
        <f>(B35-B38)/B38</f>
        <v>4.5273924563591024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"/>
      <c r="Z39" s="4"/>
    </row>
    <row r="40" spans="1:26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"/>
      <c r="Z40" s="4"/>
    </row>
    <row r="41" spans="1:26" ht="15.75" customHeight="1">
      <c r="A41" s="54"/>
      <c r="B41" s="54"/>
      <c r="C41" s="54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"/>
      <c r="Z41" s="4"/>
    </row>
    <row r="42" spans="1:26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"/>
      <c r="Z42" s="4"/>
    </row>
    <row r="43" spans="1:26" ht="15.75" customHeight="1">
      <c r="A43" s="5" t="s">
        <v>53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4"/>
      <c r="Z43" s="4"/>
    </row>
    <row r="44" spans="1:26" ht="15.75" customHeight="1">
      <c r="A44" s="11" t="s">
        <v>54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4"/>
      <c r="Z44" s="4"/>
    </row>
    <row r="45" spans="1:26" ht="15.75" customHeight="1">
      <c r="A45" s="50" t="s">
        <v>55</v>
      </c>
      <c r="B45" s="55">
        <v>100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4"/>
      <c r="Z45" s="4"/>
    </row>
    <row r="46" spans="1:26" ht="15.75" customHeight="1">
      <c r="A46" s="50" t="s">
        <v>56</v>
      </c>
      <c r="B46" s="56">
        <v>150000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4"/>
      <c r="Z46" s="4"/>
    </row>
    <row r="47" spans="1:26" ht="15.75" customHeight="1">
      <c r="A47" s="24" t="s">
        <v>16</v>
      </c>
      <c r="B47" s="25">
        <f>(13%+30%+1/12+1/12/2+1/12/2)</f>
        <v>0.59666666666666657</v>
      </c>
      <c r="C47" s="32" t="s">
        <v>20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4"/>
      <c r="Z47" s="4"/>
    </row>
    <row r="48" spans="1:26" ht="15.75" customHeight="1">
      <c r="A48" s="24" t="s">
        <v>57</v>
      </c>
      <c r="B48" s="56">
        <f>B46*1.6*B45</f>
        <v>24000000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4"/>
      <c r="Z48" s="4"/>
    </row>
    <row r="49" spans="1:26" ht="15.75" customHeight="1">
      <c r="A49" s="50" t="s">
        <v>58</v>
      </c>
      <c r="B49" s="57">
        <v>0.16600000000000001</v>
      </c>
      <c r="C49" s="58" t="s">
        <v>59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4"/>
      <c r="Z49" s="4"/>
    </row>
    <row r="50" spans="1:26" ht="28">
      <c r="A50" s="24" t="s">
        <v>54</v>
      </c>
      <c r="B50" s="59">
        <f>B48*B49</f>
        <v>3984000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4"/>
      <c r="Z50" s="4"/>
    </row>
    <row r="51" spans="1:26" ht="14">
      <c r="A51" s="11" t="s">
        <v>60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4"/>
      <c r="Z51" s="4"/>
    </row>
    <row r="52" spans="1:26" ht="28">
      <c r="A52" s="24" t="s">
        <v>62</v>
      </c>
      <c r="B52" s="60">
        <v>50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4"/>
      <c r="Z52" s="4"/>
    </row>
    <row r="53" spans="1:26" ht="14">
      <c r="A53" s="24" t="s">
        <v>64</v>
      </c>
      <c r="B53" s="56">
        <f>B46*1.6*B52</f>
        <v>12000000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4"/>
      <c r="Z53" s="4"/>
    </row>
    <row r="54" spans="1:26" ht="24">
      <c r="A54" s="24" t="s">
        <v>66</v>
      </c>
      <c r="B54" s="56">
        <f>B53*20/168</f>
        <v>1428571.4285714286</v>
      </c>
      <c r="C54" s="32" t="s">
        <v>67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4"/>
      <c r="Z54" s="4"/>
    </row>
    <row r="55" spans="1:26" ht="14">
      <c r="A55" s="24" t="s">
        <v>68</v>
      </c>
      <c r="B55" s="61">
        <v>16000000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4"/>
      <c r="Z55" s="4"/>
    </row>
    <row r="56" spans="1:26" ht="48">
      <c r="A56" s="24" t="s">
        <v>69</v>
      </c>
      <c r="B56" s="61">
        <f>(((350000*0.2)+(100000)+(200000*0.25)*3)+(0.2*5*450000))*1.6</f>
        <v>1232000</v>
      </c>
      <c r="C56" s="32" t="s">
        <v>70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4"/>
      <c r="Z56" s="4"/>
    </row>
    <row r="57" spans="1:26" ht="14">
      <c r="A57" s="24" t="s">
        <v>71</v>
      </c>
      <c r="B57" s="56">
        <f>B54+B55+B56</f>
        <v>18660571.428571429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4"/>
      <c r="Z57" s="4"/>
    </row>
    <row r="58" spans="1:26" ht="14">
      <c r="A58" s="24" t="s">
        <v>72</v>
      </c>
      <c r="B58" s="60">
        <v>2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4"/>
      <c r="Z58" s="4"/>
    </row>
    <row r="59" spans="1:26" ht="60">
      <c r="A59" s="24" t="s">
        <v>73</v>
      </c>
      <c r="B59" s="56">
        <f>B57*1.25</f>
        <v>23325714.285714287</v>
      </c>
      <c r="C59" s="62" t="s">
        <v>74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4"/>
      <c r="Z59" s="4"/>
    </row>
    <row r="60" spans="1:26" ht="14">
      <c r="A60" s="50" t="s">
        <v>75</v>
      </c>
      <c r="B60" s="64">
        <f>B58*B59</f>
        <v>46651428.571428575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4"/>
      <c r="Z60" s="4"/>
    </row>
    <row r="61" spans="1:26" ht="14">
      <c r="A61" s="11" t="s">
        <v>76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4"/>
      <c r="Z61" s="4"/>
    </row>
    <row r="62" spans="1:26" ht="28">
      <c r="A62" s="24" t="s">
        <v>22</v>
      </c>
      <c r="B62" s="56">
        <v>300000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4"/>
      <c r="Z62" s="4"/>
    </row>
    <row r="63" spans="1:26" ht="28">
      <c r="A63" s="24" t="s">
        <v>25</v>
      </c>
      <c r="B63" s="65">
        <v>0.18</v>
      </c>
      <c r="C63" s="32" t="s">
        <v>24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4"/>
      <c r="Z63" s="4"/>
    </row>
    <row r="64" spans="1:26" ht="28">
      <c r="A64" s="24" t="s">
        <v>77</v>
      </c>
      <c r="B64" s="66">
        <f>B62*12*0.18</f>
        <v>648000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4"/>
      <c r="Z64" s="4"/>
    </row>
    <row r="65" spans="1:26" ht="36">
      <c r="A65" s="24" t="s">
        <v>79</v>
      </c>
      <c r="B65" s="66">
        <f>B62*6</f>
        <v>1800000</v>
      </c>
      <c r="C65" s="62" t="s">
        <v>28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4"/>
      <c r="Z65" s="4"/>
    </row>
    <row r="66" spans="1:26" ht="14">
      <c r="A66" s="24" t="s">
        <v>81</v>
      </c>
      <c r="B66" s="68">
        <v>3</v>
      </c>
      <c r="C66" s="32" t="s">
        <v>82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4"/>
      <c r="Z66" s="4"/>
    </row>
    <row r="67" spans="1:26" ht="14">
      <c r="A67" s="70" t="s">
        <v>83</v>
      </c>
      <c r="B67" s="66">
        <f>(B64+B65)*B66</f>
        <v>7344000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4"/>
      <c r="Z67" s="4"/>
    </row>
    <row r="68" spans="1:26" ht="14">
      <c r="A68" s="11" t="s">
        <v>84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4"/>
      <c r="Z68" s="4"/>
    </row>
    <row r="69" spans="1:26" ht="14">
      <c r="A69" s="50" t="s">
        <v>55</v>
      </c>
      <c r="B69" s="55">
        <v>50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4"/>
      <c r="Z69" s="4"/>
    </row>
    <row r="70" spans="1:26" ht="14">
      <c r="A70" s="50" t="s">
        <v>56</v>
      </c>
      <c r="B70" s="56">
        <v>150000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4"/>
      <c r="Z70" s="4"/>
    </row>
    <row r="71" spans="1:26" ht="14">
      <c r="A71" s="24" t="s">
        <v>57</v>
      </c>
      <c r="B71" s="56">
        <f>B70*1.6*B69</f>
        <v>12000000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4"/>
      <c r="Z71" s="4"/>
    </row>
    <row r="72" spans="1:26" ht="48">
      <c r="A72" s="8" t="s">
        <v>86</v>
      </c>
      <c r="B72" s="65">
        <v>0.42</v>
      </c>
      <c r="C72" s="63" t="s">
        <v>87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4"/>
      <c r="Z72" s="4"/>
    </row>
    <row r="73" spans="1:26" ht="36">
      <c r="A73" s="8" t="s">
        <v>89</v>
      </c>
      <c r="B73" s="73">
        <v>6.4500000000000002E-2</v>
      </c>
      <c r="C73" s="32" t="s">
        <v>91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4"/>
      <c r="Z73" s="4"/>
    </row>
    <row r="74" spans="1:26" ht="28">
      <c r="A74" s="70" t="s">
        <v>92</v>
      </c>
      <c r="B74" s="66">
        <f>B71*B73*B72</f>
        <v>325080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4"/>
      <c r="Z74" s="4"/>
    </row>
    <row r="75" spans="1:26" ht="28">
      <c r="A75" s="11" t="s">
        <v>46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4"/>
      <c r="Z75" s="4"/>
    </row>
    <row r="76" spans="1:26" ht="28">
      <c r="A76" s="24" t="s">
        <v>54</v>
      </c>
      <c r="B76" s="66">
        <f>B50</f>
        <v>3984000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4"/>
      <c r="Z76" s="4"/>
    </row>
    <row r="77" spans="1:26" ht="14">
      <c r="A77" s="24" t="s">
        <v>95</v>
      </c>
      <c r="B77" s="66">
        <f>B60</f>
        <v>46651428.571428575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4"/>
      <c r="Z77" s="4"/>
    </row>
    <row r="78" spans="1:26" ht="14">
      <c r="A78" s="24" t="s">
        <v>97</v>
      </c>
      <c r="B78" s="66">
        <f>B67</f>
        <v>7344000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4"/>
      <c r="Z78" s="4"/>
    </row>
    <row r="79" spans="1:26" ht="14">
      <c r="A79" s="24" t="s">
        <v>84</v>
      </c>
      <c r="B79" s="66">
        <f>B74</f>
        <v>325080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4"/>
      <c r="Z79" s="4"/>
    </row>
    <row r="80" spans="1:26" ht="13">
      <c r="A80" s="46"/>
      <c r="B80" s="46"/>
      <c r="C80" s="46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4"/>
      <c r="Z80" s="4"/>
    </row>
    <row r="81" spans="1:26" ht="28">
      <c r="A81" s="47" t="s">
        <v>46</v>
      </c>
      <c r="B81" s="75">
        <f>SUM(B76:B79)</f>
        <v>58304508.571428575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4"/>
      <c r="Z81" s="4"/>
    </row>
    <row r="82" spans="1:26" ht="14">
      <c r="A82" s="24" t="s">
        <v>66</v>
      </c>
      <c r="B82" s="56">
        <f>B54</f>
        <v>1428571.4285714286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4"/>
      <c r="Z82" s="4"/>
    </row>
    <row r="83" spans="1:26" ht="14">
      <c r="A83" s="24" t="s">
        <v>68</v>
      </c>
      <c r="B83" s="61">
        <v>16000000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4"/>
      <c r="Z83" s="4"/>
    </row>
    <row r="84" spans="1:26" ht="48">
      <c r="A84" s="24" t="s">
        <v>69</v>
      </c>
      <c r="B84" s="61">
        <f>(((350000*0.2)+(100000)+(200000*0.25)*3)+(0.2*5*450000))*1.6</f>
        <v>1232000</v>
      </c>
      <c r="C84" s="32" t="s">
        <v>70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4"/>
      <c r="Z84" s="4"/>
    </row>
    <row r="85" spans="1:26" ht="14">
      <c r="A85" s="24" t="s">
        <v>51</v>
      </c>
      <c r="B85" s="66">
        <f>SUM(B82:B84)</f>
        <v>18660571.428571429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4"/>
      <c r="Z85" s="4"/>
    </row>
    <row r="86" spans="1:26" ht="15">
      <c r="A86" s="52" t="s">
        <v>52</v>
      </c>
      <c r="B86" s="53">
        <f>(B81-B85)/B85</f>
        <v>2.1244760534051936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4"/>
      <c r="Z86" s="4"/>
    </row>
    <row r="87" spans="1:26" ht="13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"/>
      <c r="Z87" s="4"/>
    </row>
    <row r="88" spans="1:26" ht="13">
      <c r="A88" s="54"/>
      <c r="B88" s="54"/>
      <c r="C88" s="54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"/>
      <c r="Z88" s="4"/>
    </row>
    <row r="89" spans="1:26" ht="13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"/>
      <c r="Z89" s="4"/>
    </row>
    <row r="90" spans="1:26" ht="15">
      <c r="A90" s="5" t="s">
        <v>101</v>
      </c>
      <c r="B90" s="4"/>
      <c r="C90" s="10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6" ht="28">
      <c r="A91" s="11" t="s">
        <v>61</v>
      </c>
      <c r="B91" s="12"/>
      <c r="C91" s="2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6" ht="28">
      <c r="A92" s="50" t="s">
        <v>63</v>
      </c>
      <c r="B92" s="56">
        <v>110000</v>
      </c>
      <c r="C92" s="24" t="s">
        <v>9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6" ht="28">
      <c r="A93" s="24" t="s">
        <v>65</v>
      </c>
      <c r="B93" s="55">
        <f>B92*12</f>
        <v>1320000</v>
      </c>
      <c r="C93" s="2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6" ht="14">
      <c r="A94" s="50" t="s">
        <v>38</v>
      </c>
      <c r="B94" s="78">
        <v>10000</v>
      </c>
      <c r="C94" s="24" t="s">
        <v>9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6" ht="14">
      <c r="A95" s="50" t="s">
        <v>103</v>
      </c>
      <c r="B95" s="78">
        <f>B94*20%</f>
        <v>2000</v>
      </c>
      <c r="C95" s="24"/>
      <c r="D95" s="4" t="s">
        <v>105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6" ht="28">
      <c r="A96" s="50" t="s">
        <v>106</v>
      </c>
      <c r="B96" s="56">
        <f>B95*B93</f>
        <v>2640000000</v>
      </c>
      <c r="C96" s="24"/>
      <c r="D96" s="4" t="s">
        <v>107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84">
      <c r="A97" s="50" t="s">
        <v>109</v>
      </c>
      <c r="B97" s="83">
        <f>B96*3%</f>
        <v>79200000</v>
      </c>
      <c r="C97" s="63" t="s">
        <v>110</v>
      </c>
      <c r="D97" s="48" t="s">
        <v>112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28">
      <c r="A98" s="24" t="s">
        <v>113</v>
      </c>
      <c r="B98" s="25">
        <v>0.52</v>
      </c>
      <c r="C98" s="24" t="s">
        <v>114</v>
      </c>
      <c r="D98" s="4" t="s">
        <v>115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42">
      <c r="A99" s="24" t="s">
        <v>78</v>
      </c>
      <c r="B99" s="67">
        <f>B97*(1+B98)</f>
        <v>120384000</v>
      </c>
      <c r="C99" s="2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28">
      <c r="A100" s="7" t="s">
        <v>80</v>
      </c>
      <c r="B100" s="20"/>
      <c r="C100" s="10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4">
      <c r="A101" s="1" t="s">
        <v>38</v>
      </c>
      <c r="B101" s="69">
        <v>10000</v>
      </c>
      <c r="C101" s="10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4">
      <c r="A102" s="1" t="s">
        <v>116</v>
      </c>
      <c r="B102" s="84">
        <v>0.2</v>
      </c>
      <c r="C102" s="10" t="s">
        <v>9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36">
      <c r="A103" s="13" t="s">
        <v>85</v>
      </c>
      <c r="B103" s="18">
        <f>(69/3)%</f>
        <v>0.23</v>
      </c>
      <c r="C103" s="71" t="s">
        <v>117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4">
      <c r="A104" s="13" t="s">
        <v>88</v>
      </c>
      <c r="B104" s="18">
        <f>B102*(1-B103)</f>
        <v>0.15400000000000003</v>
      </c>
      <c r="C104" s="7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4">
      <c r="A105" s="13" t="s">
        <v>90</v>
      </c>
      <c r="B105" s="14">
        <f>B101*(B102-B104)</f>
        <v>459.99999999999983</v>
      </c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28">
      <c r="A106" s="1" t="s">
        <v>93</v>
      </c>
      <c r="B106" s="23">
        <v>110000</v>
      </c>
      <c r="C106" s="10" t="s">
        <v>9</v>
      </c>
      <c r="D106" s="4" t="s">
        <v>118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28">
      <c r="A107" s="13" t="s">
        <v>94</v>
      </c>
      <c r="B107" s="18">
        <v>0.22</v>
      </c>
      <c r="C107" s="10" t="s">
        <v>119</v>
      </c>
      <c r="D107" s="4" t="s">
        <v>120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4">
      <c r="A108" s="13" t="s">
        <v>96</v>
      </c>
      <c r="B108" s="20">
        <f>B106*12*B107</f>
        <v>290400</v>
      </c>
      <c r="C108" s="10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28">
      <c r="A109" s="13" t="s">
        <v>98</v>
      </c>
      <c r="B109" s="23">
        <f>B105*B108</f>
        <v>133583999.99999996</v>
      </c>
      <c r="C109" s="10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42">
      <c r="A110" s="7" t="s">
        <v>99</v>
      </c>
      <c r="B110" s="4"/>
      <c r="C110" s="10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4">
      <c r="A111" s="1" t="s">
        <v>33</v>
      </c>
      <c r="B111" s="23">
        <v>110000</v>
      </c>
      <c r="C111" s="10" t="s">
        <v>9</v>
      </c>
      <c r="D111" s="4" t="s">
        <v>121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4">
      <c r="A112" s="13" t="s">
        <v>34</v>
      </c>
      <c r="B112" s="9">
        <f>B111*12</f>
        <v>1320000</v>
      </c>
      <c r="C112" s="10" t="s">
        <v>9</v>
      </c>
      <c r="D112" s="4"/>
      <c r="E112" s="23"/>
      <c r="F112" s="7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6" ht="24">
      <c r="A113" s="13" t="s">
        <v>23</v>
      </c>
      <c r="B113" s="18">
        <v>0.22</v>
      </c>
      <c r="C113" s="10" t="s">
        <v>24</v>
      </c>
      <c r="D113" s="4" t="s">
        <v>122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6" ht="24">
      <c r="A114" s="13" t="s">
        <v>35</v>
      </c>
      <c r="B114" s="9">
        <f>B112*B113</f>
        <v>290400</v>
      </c>
      <c r="C114" s="10" t="s">
        <v>24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6" ht="48">
      <c r="A115" s="13" t="s">
        <v>100</v>
      </c>
      <c r="B115" s="9">
        <f>B114*(43%/3)</f>
        <v>41624</v>
      </c>
      <c r="C115" s="77" t="s">
        <v>123</v>
      </c>
      <c r="D115" s="4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6" ht="14">
      <c r="A116" s="1" t="s">
        <v>38</v>
      </c>
      <c r="B116" s="69">
        <v>10000</v>
      </c>
      <c r="C116" s="10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6" ht="14">
      <c r="A117" s="13" t="s">
        <v>102</v>
      </c>
      <c r="B117" s="18">
        <v>0.1</v>
      </c>
      <c r="C117" s="10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6" ht="14">
      <c r="A118" s="13" t="s">
        <v>41</v>
      </c>
      <c r="B118" s="20">
        <f>B116*B117</f>
        <v>1000</v>
      </c>
      <c r="C118" s="10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6" ht="28">
      <c r="A119" s="1" t="s">
        <v>104</v>
      </c>
      <c r="B119" s="23">
        <f>B115*B118</f>
        <v>41624000</v>
      </c>
      <c r="C119" s="10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6" ht="24">
      <c r="A120" s="79" t="s">
        <v>108</v>
      </c>
      <c r="B120" s="80">
        <v>0.3</v>
      </c>
      <c r="C120" s="81" t="s">
        <v>124</v>
      </c>
      <c r="D120" s="82" t="s">
        <v>125</v>
      </c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</row>
    <row r="121" spans="1:26" ht="13">
      <c r="A121" s="46"/>
      <c r="B121" s="46"/>
      <c r="C121" s="46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4"/>
      <c r="Z121" s="4"/>
    </row>
    <row r="122" spans="1:26" ht="28">
      <c r="A122" s="47" t="s">
        <v>111</v>
      </c>
      <c r="B122" s="75">
        <f>(B119+B109+B99)*B120</f>
        <v>88677599.999999985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4"/>
      <c r="Z122" s="4"/>
    </row>
    <row r="123" spans="1:26" ht="14">
      <c r="A123" s="24" t="s">
        <v>68</v>
      </c>
      <c r="B123" s="61">
        <v>7000000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4"/>
      <c r="Z123" s="4"/>
    </row>
    <row r="124" spans="1:26" ht="48">
      <c r="A124" s="24" t="s">
        <v>126</v>
      </c>
      <c r="B124" s="61">
        <v>20000000</v>
      </c>
      <c r="C124" s="32" t="s">
        <v>70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4"/>
      <c r="Z124" s="4"/>
    </row>
    <row r="125" spans="1:26" ht="14">
      <c r="A125" s="24" t="s">
        <v>51</v>
      </c>
      <c r="B125" s="66">
        <f>SUM(B123:B124)</f>
        <v>27000000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4"/>
      <c r="Z125" s="4"/>
    </row>
    <row r="126" spans="1:26" ht="15">
      <c r="A126" s="52" t="s">
        <v>52</v>
      </c>
      <c r="B126" s="53">
        <f>(B122-B125)/B125</f>
        <v>2.284355555555555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4"/>
      <c r="Z126" s="4"/>
    </row>
    <row r="127" spans="1:26" ht="13">
      <c r="A127" s="13"/>
      <c r="B127" s="4"/>
      <c r="C127" s="10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6" ht="13">
      <c r="A128" s="13"/>
      <c r="B128" s="4"/>
      <c r="C128" s="10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3">
      <c r="A129" s="13"/>
      <c r="B129" s="4"/>
      <c r="C129" s="10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3">
      <c r="A130" s="13"/>
      <c r="B130" s="4"/>
      <c r="C130" s="10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3">
      <c r="A131" s="13"/>
      <c r="B131" s="4"/>
      <c r="C131" s="10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3">
      <c r="A132" s="13"/>
      <c r="B132" s="4"/>
      <c r="C132" s="1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3">
      <c r="A133" s="13"/>
      <c r="B133" s="4"/>
      <c r="C133" s="10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3">
      <c r="A134" s="13"/>
      <c r="B134" s="4"/>
      <c r="C134" s="10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3">
      <c r="A135" s="13"/>
      <c r="B135" s="4"/>
      <c r="C135" s="10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3">
      <c r="A136" s="13"/>
      <c r="B136" s="4"/>
      <c r="C136" s="10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3">
      <c r="A137" s="13"/>
      <c r="B137" s="4"/>
      <c r="C137" s="10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3">
      <c r="A138" s="13"/>
      <c r="B138" s="4"/>
      <c r="C138" s="10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3">
      <c r="A139" s="13"/>
      <c r="B139" s="4"/>
      <c r="C139" s="10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3">
      <c r="A140" s="13"/>
      <c r="B140" s="4"/>
      <c r="C140" s="10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3">
      <c r="A141" s="13"/>
      <c r="B141" s="4"/>
      <c r="C141" s="10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3">
      <c r="A142" s="13"/>
      <c r="B142" s="4"/>
      <c r="C142" s="10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3">
      <c r="A143" s="13"/>
      <c r="B143" s="4"/>
      <c r="C143" s="10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3">
      <c r="A144" s="13"/>
      <c r="B144" s="4"/>
      <c r="C144" s="10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6" ht="13">
      <c r="A145" s="13"/>
      <c r="B145" s="4"/>
      <c r="C145" s="10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6" ht="13">
      <c r="A146" s="13"/>
      <c r="B146" s="13"/>
      <c r="C146" s="13"/>
      <c r="D146" s="4"/>
      <c r="E146" s="10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>
      <c r="A147" s="13"/>
      <c r="B147" s="13"/>
      <c r="C147" s="13"/>
      <c r="D147" s="4"/>
      <c r="E147" s="10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>
      <c r="A148" s="13"/>
      <c r="B148" s="13"/>
      <c r="C148" s="13"/>
      <c r="D148" s="4"/>
      <c r="E148" s="10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>
      <c r="A149" s="13"/>
      <c r="B149" s="13"/>
      <c r="C149" s="13"/>
      <c r="D149" s="4"/>
      <c r="E149" s="10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>
      <c r="A150" s="13"/>
      <c r="B150" s="13"/>
      <c r="C150" s="13"/>
      <c r="D150" s="4"/>
      <c r="E150" s="10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>
      <c r="A151" s="13"/>
      <c r="B151" s="13"/>
      <c r="C151" s="13"/>
      <c r="D151" s="4"/>
      <c r="E151" s="10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>
      <c r="A152" s="13"/>
      <c r="B152" s="13"/>
      <c r="C152" s="13"/>
      <c r="D152" s="4"/>
      <c r="E152" s="10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>
      <c r="A153" s="13"/>
      <c r="B153" s="13"/>
      <c r="C153" s="13"/>
      <c r="D153" s="4"/>
      <c r="E153" s="10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>
      <c r="A154" s="13"/>
      <c r="B154" s="13"/>
      <c r="C154" s="13"/>
      <c r="D154" s="4"/>
      <c r="E154" s="10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>
      <c r="A155" s="13"/>
      <c r="B155" s="13"/>
      <c r="C155" s="13"/>
      <c r="D155" s="4"/>
      <c r="E155" s="10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>
      <c r="A156" s="13"/>
      <c r="B156" s="13"/>
      <c r="C156" s="13"/>
      <c r="D156" s="4"/>
      <c r="E156" s="10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>
      <c r="A157" s="13"/>
      <c r="B157" s="13"/>
      <c r="C157" s="13"/>
      <c r="D157" s="4"/>
      <c r="E157" s="10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>
      <c r="A158" s="13"/>
      <c r="B158" s="13"/>
      <c r="C158" s="13"/>
      <c r="D158" s="4"/>
      <c r="E158" s="10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>
      <c r="A159" s="13"/>
      <c r="B159" s="13"/>
      <c r="C159" s="13"/>
      <c r="D159" s="4"/>
      <c r="E159" s="10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>
      <c r="A160" s="13"/>
      <c r="B160" s="13"/>
      <c r="C160" s="13"/>
      <c r="D160" s="4"/>
      <c r="E160" s="10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>
      <c r="A161" s="13"/>
      <c r="B161" s="13"/>
      <c r="C161" s="13"/>
      <c r="D161" s="4"/>
      <c r="E161" s="10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>
      <c r="A162" s="13"/>
      <c r="B162" s="13"/>
      <c r="C162" s="13"/>
      <c r="D162" s="4"/>
      <c r="E162" s="10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>
      <c r="A163" s="13"/>
      <c r="B163" s="13"/>
      <c r="C163" s="13"/>
      <c r="D163" s="4"/>
      <c r="E163" s="10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>
      <c r="A164" s="13"/>
      <c r="B164" s="13"/>
      <c r="C164" s="13"/>
      <c r="D164" s="4"/>
      <c r="E164" s="10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>
      <c r="A165" s="13"/>
      <c r="B165" s="13"/>
      <c r="C165" s="13"/>
      <c r="D165" s="4"/>
      <c r="E165" s="10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>
      <c r="A166" s="13"/>
      <c r="B166" s="13"/>
      <c r="C166" s="13"/>
      <c r="D166" s="4"/>
      <c r="E166" s="10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>
      <c r="A167" s="13"/>
      <c r="B167" s="13"/>
      <c r="C167" s="13"/>
      <c r="D167" s="4"/>
      <c r="E167" s="10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>
      <c r="A168" s="13"/>
      <c r="B168" s="13"/>
      <c r="C168" s="13"/>
      <c r="D168" s="4"/>
      <c r="E168" s="10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>
      <c r="A169" s="13"/>
      <c r="B169" s="13"/>
      <c r="C169" s="13"/>
      <c r="D169" s="4"/>
      <c r="E169" s="10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>
      <c r="A170" s="13"/>
      <c r="B170" s="13"/>
      <c r="C170" s="13"/>
      <c r="D170" s="4"/>
      <c r="E170" s="10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>
      <c r="A171" s="13"/>
      <c r="B171" s="13"/>
      <c r="C171" s="13"/>
      <c r="D171" s="4"/>
      <c r="E171" s="10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>
      <c r="A172" s="13"/>
      <c r="B172" s="13"/>
      <c r="C172" s="13"/>
      <c r="D172" s="4"/>
      <c r="E172" s="10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>
      <c r="A173" s="13"/>
      <c r="B173" s="13"/>
      <c r="C173" s="13"/>
      <c r="D173" s="4"/>
      <c r="E173" s="10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>
      <c r="A174" s="13"/>
      <c r="B174" s="13"/>
      <c r="C174" s="13"/>
      <c r="D174" s="4"/>
      <c r="E174" s="10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>
      <c r="A175" s="13"/>
      <c r="B175" s="13"/>
      <c r="C175" s="13"/>
      <c r="D175" s="4"/>
      <c r="E175" s="10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>
      <c r="A176" s="13"/>
      <c r="B176" s="13"/>
      <c r="C176" s="13"/>
      <c r="D176" s="4"/>
      <c r="E176" s="10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>
      <c r="A177" s="13"/>
      <c r="B177" s="13"/>
      <c r="C177" s="13"/>
      <c r="D177" s="4"/>
      <c r="E177" s="10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>
      <c r="A178" s="13"/>
      <c r="B178" s="13"/>
      <c r="C178" s="13"/>
      <c r="D178" s="4"/>
      <c r="E178" s="10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>
      <c r="A179" s="13"/>
      <c r="B179" s="13"/>
      <c r="C179" s="13"/>
      <c r="D179" s="4"/>
      <c r="E179" s="10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>
      <c r="A180" s="13"/>
      <c r="B180" s="13"/>
      <c r="C180" s="13"/>
      <c r="D180" s="4"/>
      <c r="E180" s="10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>
      <c r="A181" s="13"/>
      <c r="B181" s="13"/>
      <c r="C181" s="13"/>
      <c r="D181" s="4"/>
      <c r="E181" s="10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>
      <c r="A182" s="13"/>
      <c r="B182" s="13"/>
      <c r="C182" s="13"/>
      <c r="D182" s="4"/>
      <c r="E182" s="10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>
      <c r="A183" s="13"/>
      <c r="B183" s="13"/>
      <c r="C183" s="13"/>
      <c r="D183" s="4"/>
      <c r="E183" s="10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>
      <c r="A184" s="13"/>
      <c r="B184" s="13"/>
      <c r="C184" s="13"/>
      <c r="D184" s="4"/>
      <c r="E184" s="10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>
      <c r="A185" s="13"/>
      <c r="B185" s="13"/>
      <c r="C185" s="13"/>
      <c r="D185" s="4"/>
      <c r="E185" s="10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>
      <c r="A186" s="13"/>
      <c r="B186" s="13"/>
      <c r="C186" s="13"/>
      <c r="D186" s="4"/>
      <c r="E186" s="10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>
      <c r="A187" s="13"/>
      <c r="B187" s="13"/>
      <c r="C187" s="13"/>
      <c r="D187" s="4"/>
      <c r="E187" s="10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>
      <c r="A188" s="13"/>
      <c r="B188" s="13"/>
      <c r="C188" s="13"/>
      <c r="D188" s="4"/>
      <c r="E188" s="10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>
      <c r="A189" s="13"/>
      <c r="B189" s="13"/>
      <c r="C189" s="13"/>
      <c r="D189" s="4"/>
      <c r="E189" s="10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>
      <c r="A190" s="13"/>
      <c r="B190" s="13"/>
      <c r="C190" s="13"/>
      <c r="D190" s="4"/>
      <c r="E190" s="10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>
      <c r="A191" s="13"/>
      <c r="B191" s="13"/>
      <c r="C191" s="13"/>
      <c r="D191" s="4"/>
      <c r="E191" s="10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>
      <c r="A192" s="13"/>
      <c r="B192" s="13"/>
      <c r="C192" s="13"/>
      <c r="D192" s="4"/>
      <c r="E192" s="10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>
      <c r="A193" s="13"/>
      <c r="B193" s="13"/>
      <c r="C193" s="13"/>
      <c r="D193" s="4"/>
      <c r="E193" s="10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>
      <c r="A194" s="13"/>
      <c r="B194" s="13"/>
      <c r="C194" s="13"/>
      <c r="D194" s="4"/>
      <c r="E194" s="10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>
      <c r="A195" s="13"/>
      <c r="B195" s="13"/>
      <c r="C195" s="13"/>
      <c r="D195" s="4"/>
      <c r="E195" s="10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>
      <c r="A196" s="13"/>
      <c r="B196" s="13"/>
      <c r="C196" s="13"/>
      <c r="D196" s="4"/>
      <c r="E196" s="10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>
      <c r="A197" s="13"/>
      <c r="B197" s="13"/>
      <c r="C197" s="13"/>
      <c r="D197" s="4"/>
      <c r="E197" s="10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>
      <c r="A198" s="13"/>
      <c r="B198" s="13"/>
      <c r="C198" s="13"/>
      <c r="D198" s="4"/>
      <c r="E198" s="10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>
      <c r="A199" s="13"/>
      <c r="B199" s="13"/>
      <c r="C199" s="13"/>
      <c r="D199" s="4"/>
      <c r="E199" s="10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>
      <c r="A200" s="13"/>
      <c r="B200" s="13"/>
      <c r="C200" s="13"/>
      <c r="D200" s="4"/>
      <c r="E200" s="10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>
      <c r="A201" s="13"/>
      <c r="B201" s="13"/>
      <c r="C201" s="13"/>
      <c r="D201" s="4"/>
      <c r="E201" s="10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>
      <c r="A202" s="13"/>
      <c r="B202" s="13"/>
      <c r="C202" s="13"/>
      <c r="D202" s="4"/>
      <c r="E202" s="10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>
      <c r="A203" s="13"/>
      <c r="B203" s="13"/>
      <c r="C203" s="13"/>
      <c r="D203" s="4"/>
      <c r="E203" s="10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>
      <c r="A204" s="13"/>
      <c r="B204" s="13"/>
      <c r="C204" s="13"/>
      <c r="D204" s="4"/>
      <c r="E204" s="10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>
      <c r="A205" s="13"/>
      <c r="B205" s="13"/>
      <c r="C205" s="13"/>
      <c r="D205" s="4"/>
      <c r="E205" s="10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>
      <c r="A206" s="13"/>
      <c r="B206" s="13"/>
      <c r="C206" s="13"/>
      <c r="D206" s="4"/>
      <c r="E206" s="10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>
      <c r="A207" s="13"/>
      <c r="B207" s="13"/>
      <c r="C207" s="13"/>
      <c r="D207" s="4"/>
      <c r="E207" s="10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>
      <c r="A208" s="13"/>
      <c r="B208" s="13"/>
      <c r="C208" s="13"/>
      <c r="D208" s="4"/>
      <c r="E208" s="10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>
      <c r="A209" s="13"/>
      <c r="B209" s="13"/>
      <c r="C209" s="13"/>
      <c r="D209" s="4"/>
      <c r="E209" s="10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>
      <c r="A210" s="13"/>
      <c r="B210" s="13"/>
      <c r="C210" s="13"/>
      <c r="D210" s="4"/>
      <c r="E210" s="10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>
      <c r="A211" s="13"/>
      <c r="B211" s="13"/>
      <c r="C211" s="13"/>
      <c r="D211" s="4"/>
      <c r="E211" s="10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>
      <c r="A212" s="13"/>
      <c r="B212" s="13"/>
      <c r="C212" s="13"/>
      <c r="D212" s="4"/>
      <c r="E212" s="10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>
      <c r="A213" s="13"/>
      <c r="B213" s="13"/>
      <c r="C213" s="13"/>
      <c r="D213" s="4"/>
      <c r="E213" s="10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>
      <c r="A214" s="13"/>
      <c r="B214" s="13"/>
      <c r="C214" s="13"/>
      <c r="D214" s="4"/>
      <c r="E214" s="10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>
      <c r="A215" s="13"/>
      <c r="B215" s="13"/>
      <c r="C215" s="13"/>
      <c r="D215" s="4"/>
      <c r="E215" s="10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>
      <c r="A216" s="13"/>
      <c r="B216" s="13"/>
      <c r="C216" s="13"/>
      <c r="D216" s="4"/>
      <c r="E216" s="10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>
      <c r="A217" s="13"/>
      <c r="B217" s="13"/>
      <c r="C217" s="13"/>
      <c r="D217" s="4"/>
      <c r="E217" s="10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>
      <c r="A218" s="13"/>
      <c r="B218" s="13"/>
      <c r="C218" s="13"/>
      <c r="D218" s="4"/>
      <c r="E218" s="10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>
      <c r="A219" s="13"/>
      <c r="B219" s="13"/>
      <c r="C219" s="13"/>
      <c r="D219" s="4"/>
      <c r="E219" s="10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>
      <c r="A220" s="13"/>
      <c r="B220" s="13"/>
      <c r="C220" s="13"/>
      <c r="D220" s="4"/>
      <c r="E220" s="10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>
      <c r="A221" s="13"/>
      <c r="B221" s="13"/>
      <c r="C221" s="13"/>
      <c r="D221" s="4"/>
      <c r="E221" s="10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>
      <c r="A222" s="13"/>
      <c r="B222" s="13"/>
      <c r="C222" s="13"/>
      <c r="D222" s="4"/>
      <c r="E222" s="10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>
      <c r="A223" s="13"/>
      <c r="B223" s="13"/>
      <c r="C223" s="13"/>
      <c r="D223" s="4"/>
      <c r="E223" s="10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>
      <c r="A224" s="13"/>
      <c r="B224" s="13"/>
      <c r="C224" s="13"/>
      <c r="D224" s="4"/>
      <c r="E224" s="10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>
      <c r="A225" s="13"/>
      <c r="B225" s="13"/>
      <c r="C225" s="13"/>
      <c r="D225" s="4"/>
      <c r="E225" s="10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>
      <c r="A226" s="13"/>
      <c r="B226" s="13"/>
      <c r="C226" s="13"/>
      <c r="D226" s="4"/>
      <c r="E226" s="10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>
      <c r="A227" s="13"/>
      <c r="B227" s="13"/>
      <c r="C227" s="13"/>
      <c r="D227" s="4"/>
      <c r="E227" s="10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>
      <c r="A228" s="13"/>
      <c r="B228" s="13"/>
      <c r="C228" s="13"/>
      <c r="D228" s="4"/>
      <c r="E228" s="10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>
      <c r="A229" s="13"/>
      <c r="B229" s="13"/>
      <c r="C229" s="13"/>
      <c r="D229" s="4"/>
      <c r="E229" s="10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>
      <c r="A230" s="13"/>
      <c r="B230" s="13"/>
      <c r="C230" s="13"/>
      <c r="D230" s="4"/>
      <c r="E230" s="10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>
      <c r="A231" s="13"/>
      <c r="B231" s="13"/>
      <c r="C231" s="13"/>
      <c r="D231" s="4"/>
      <c r="E231" s="10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>
      <c r="A232" s="13"/>
      <c r="B232" s="13"/>
      <c r="C232" s="13"/>
      <c r="D232" s="4"/>
      <c r="E232" s="10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>
      <c r="A233" s="13"/>
      <c r="B233" s="13"/>
      <c r="C233" s="13"/>
      <c r="D233" s="4"/>
      <c r="E233" s="10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>
      <c r="A234" s="13"/>
      <c r="B234" s="13"/>
      <c r="C234" s="13"/>
      <c r="D234" s="4"/>
      <c r="E234" s="10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>
      <c r="A235" s="13"/>
      <c r="B235" s="13"/>
      <c r="C235" s="13"/>
      <c r="D235" s="4"/>
      <c r="E235" s="10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>
      <c r="A236" s="13"/>
      <c r="B236" s="13"/>
      <c r="C236" s="13"/>
      <c r="D236" s="4"/>
      <c r="E236" s="10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>
      <c r="A237" s="13"/>
      <c r="B237" s="13"/>
      <c r="C237" s="13"/>
      <c r="D237" s="4"/>
      <c r="E237" s="10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>
      <c r="A238" s="13"/>
      <c r="B238" s="13"/>
      <c r="C238" s="13"/>
      <c r="D238" s="4"/>
      <c r="E238" s="10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>
      <c r="A239" s="13"/>
      <c r="B239" s="13"/>
      <c r="C239" s="13"/>
      <c r="D239" s="4"/>
      <c r="E239" s="10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>
      <c r="A240" s="13"/>
      <c r="B240" s="13"/>
      <c r="C240" s="13"/>
      <c r="D240" s="4"/>
      <c r="E240" s="10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>
      <c r="A241" s="13"/>
      <c r="B241" s="13"/>
      <c r="C241" s="13"/>
      <c r="D241" s="4"/>
      <c r="E241" s="10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>
      <c r="A242" s="13"/>
      <c r="B242" s="13"/>
      <c r="C242" s="13"/>
      <c r="D242" s="4"/>
      <c r="E242" s="10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>
      <c r="A243" s="13"/>
      <c r="B243" s="13"/>
      <c r="C243" s="13"/>
      <c r="D243" s="4"/>
      <c r="E243" s="10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>
      <c r="A244" s="13"/>
      <c r="B244" s="13"/>
      <c r="C244" s="13"/>
      <c r="D244" s="4"/>
      <c r="E244" s="10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>
      <c r="A245" s="13"/>
      <c r="B245" s="13"/>
      <c r="C245" s="13"/>
      <c r="D245" s="4"/>
      <c r="E245" s="10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>
      <c r="A246" s="13"/>
      <c r="B246" s="13"/>
      <c r="C246" s="13"/>
      <c r="D246" s="4"/>
      <c r="E246" s="10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>
      <c r="A247" s="13"/>
      <c r="B247" s="13"/>
      <c r="C247" s="13"/>
      <c r="D247" s="4"/>
      <c r="E247" s="10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>
      <c r="A248" s="13"/>
      <c r="B248" s="13"/>
      <c r="C248" s="13"/>
      <c r="D248" s="4"/>
      <c r="E248" s="10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>
      <c r="A249" s="13"/>
      <c r="B249" s="13"/>
      <c r="C249" s="13"/>
      <c r="D249" s="4"/>
      <c r="E249" s="10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>
      <c r="A250" s="13"/>
      <c r="B250" s="13"/>
      <c r="C250" s="13"/>
      <c r="D250" s="4"/>
      <c r="E250" s="10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>
      <c r="A251" s="13"/>
      <c r="B251" s="13"/>
      <c r="C251" s="13"/>
      <c r="D251" s="4"/>
      <c r="E251" s="10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>
      <c r="A252" s="13"/>
      <c r="B252" s="13"/>
      <c r="C252" s="13"/>
      <c r="D252" s="4"/>
      <c r="E252" s="10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>
      <c r="A253" s="13"/>
      <c r="B253" s="13"/>
      <c r="C253" s="13"/>
      <c r="D253" s="4"/>
      <c r="E253" s="10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>
      <c r="A254" s="13"/>
      <c r="B254" s="13"/>
      <c r="C254" s="13"/>
      <c r="D254" s="4"/>
      <c r="E254" s="10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>
      <c r="A255" s="13"/>
      <c r="B255" s="13"/>
      <c r="C255" s="13"/>
      <c r="D255" s="4"/>
      <c r="E255" s="10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>
      <c r="A256" s="13"/>
      <c r="B256" s="13"/>
      <c r="C256" s="13"/>
      <c r="D256" s="4"/>
      <c r="E256" s="10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>
      <c r="A257" s="13"/>
      <c r="B257" s="13"/>
      <c r="C257" s="13"/>
      <c r="D257" s="4"/>
      <c r="E257" s="10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>
      <c r="A258" s="13"/>
      <c r="B258" s="13"/>
      <c r="C258" s="13"/>
      <c r="D258" s="4"/>
      <c r="E258" s="10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>
      <c r="A259" s="13"/>
      <c r="B259" s="13"/>
      <c r="C259" s="13"/>
      <c r="D259" s="4"/>
      <c r="E259" s="10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>
      <c r="A260" s="13"/>
      <c r="B260" s="13"/>
      <c r="C260" s="13"/>
      <c r="D260" s="4"/>
      <c r="E260" s="10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>
      <c r="A261" s="13"/>
      <c r="B261" s="13"/>
      <c r="C261" s="13"/>
      <c r="D261" s="4"/>
      <c r="E261" s="10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>
      <c r="A262" s="13"/>
      <c r="B262" s="13"/>
      <c r="C262" s="13"/>
      <c r="D262" s="4"/>
      <c r="E262" s="10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>
      <c r="A263" s="13"/>
      <c r="B263" s="13"/>
      <c r="C263" s="13"/>
      <c r="D263" s="4"/>
      <c r="E263" s="10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>
      <c r="A264" s="13"/>
      <c r="B264" s="13"/>
      <c r="C264" s="13"/>
      <c r="D264" s="4"/>
      <c r="E264" s="10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>
      <c r="A265" s="13"/>
      <c r="B265" s="13"/>
      <c r="C265" s="13"/>
      <c r="D265" s="4"/>
      <c r="E265" s="10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>
      <c r="A266" s="13"/>
      <c r="B266" s="13"/>
      <c r="C266" s="13"/>
      <c r="D266" s="4"/>
      <c r="E266" s="10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>
      <c r="A267" s="13"/>
      <c r="B267" s="13"/>
      <c r="C267" s="13"/>
      <c r="D267" s="4"/>
      <c r="E267" s="10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>
      <c r="A268" s="13"/>
      <c r="B268" s="13"/>
      <c r="C268" s="13"/>
      <c r="D268" s="4"/>
      <c r="E268" s="10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>
      <c r="A269" s="13"/>
      <c r="B269" s="13"/>
      <c r="C269" s="13"/>
      <c r="D269" s="4"/>
      <c r="E269" s="10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>
      <c r="A270" s="13"/>
      <c r="B270" s="13"/>
      <c r="C270" s="13"/>
      <c r="D270" s="4"/>
      <c r="E270" s="10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>
      <c r="A271" s="13"/>
      <c r="B271" s="13"/>
      <c r="C271" s="13"/>
      <c r="D271" s="4"/>
      <c r="E271" s="10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>
      <c r="A272" s="13"/>
      <c r="B272" s="13"/>
      <c r="C272" s="13"/>
      <c r="D272" s="4"/>
      <c r="E272" s="10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>
      <c r="A273" s="13"/>
      <c r="B273" s="13"/>
      <c r="C273" s="13"/>
      <c r="D273" s="4"/>
      <c r="E273" s="10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>
      <c r="A274" s="13"/>
      <c r="B274" s="13"/>
      <c r="C274" s="13"/>
      <c r="D274" s="4"/>
      <c r="E274" s="10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>
      <c r="A275" s="13"/>
      <c r="B275" s="13"/>
      <c r="C275" s="13"/>
      <c r="D275" s="4"/>
      <c r="E275" s="10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>
      <c r="A276" s="13"/>
      <c r="B276" s="13"/>
      <c r="C276" s="13"/>
      <c r="D276" s="4"/>
      <c r="E276" s="10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>
      <c r="A277" s="13"/>
      <c r="B277" s="13"/>
      <c r="C277" s="13"/>
      <c r="D277" s="4"/>
      <c r="E277" s="10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>
      <c r="A278" s="13"/>
      <c r="B278" s="13"/>
      <c r="C278" s="13"/>
      <c r="D278" s="4"/>
      <c r="E278" s="10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>
      <c r="A279" s="13"/>
      <c r="B279" s="13"/>
      <c r="C279" s="13"/>
      <c r="D279" s="4"/>
      <c r="E279" s="10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>
      <c r="A280" s="13"/>
      <c r="B280" s="13"/>
      <c r="C280" s="13"/>
      <c r="D280" s="4"/>
      <c r="E280" s="10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>
      <c r="A281" s="13"/>
      <c r="B281" s="13"/>
      <c r="C281" s="13"/>
      <c r="D281" s="4"/>
      <c r="E281" s="10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>
      <c r="A282" s="13"/>
      <c r="B282" s="13"/>
      <c r="C282" s="13"/>
      <c r="D282" s="4"/>
      <c r="E282" s="10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>
      <c r="A283" s="13"/>
      <c r="B283" s="13"/>
      <c r="C283" s="13"/>
      <c r="D283" s="4"/>
      <c r="E283" s="10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>
      <c r="A284" s="13"/>
      <c r="B284" s="13"/>
      <c r="C284" s="13"/>
      <c r="D284" s="4"/>
      <c r="E284" s="10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>
      <c r="A285" s="13"/>
      <c r="B285" s="13"/>
      <c r="C285" s="13"/>
      <c r="D285" s="4"/>
      <c r="E285" s="10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>
      <c r="A286" s="13"/>
      <c r="B286" s="13"/>
      <c r="C286" s="13"/>
      <c r="D286" s="4"/>
      <c r="E286" s="10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>
      <c r="A287" s="13"/>
      <c r="B287" s="13"/>
      <c r="C287" s="13"/>
      <c r="D287" s="4"/>
      <c r="E287" s="10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>
      <c r="A288" s="13"/>
      <c r="B288" s="13"/>
      <c r="C288" s="13"/>
      <c r="D288" s="4"/>
      <c r="E288" s="10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>
      <c r="A289" s="13"/>
      <c r="B289" s="13"/>
      <c r="C289" s="13"/>
      <c r="D289" s="4"/>
      <c r="E289" s="10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>
      <c r="A290" s="13"/>
      <c r="B290" s="13"/>
      <c r="C290" s="13"/>
      <c r="D290" s="4"/>
      <c r="E290" s="10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>
      <c r="A291" s="13"/>
      <c r="B291" s="13"/>
      <c r="C291" s="13"/>
      <c r="D291" s="4"/>
      <c r="E291" s="10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>
      <c r="A292" s="13"/>
      <c r="B292" s="13"/>
      <c r="C292" s="13"/>
      <c r="D292" s="4"/>
      <c r="E292" s="10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>
      <c r="A293" s="13"/>
      <c r="B293" s="13"/>
      <c r="C293" s="13"/>
      <c r="D293" s="4"/>
      <c r="E293" s="10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>
      <c r="A294" s="13"/>
      <c r="B294" s="13"/>
      <c r="C294" s="13"/>
      <c r="D294" s="4"/>
      <c r="E294" s="10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>
      <c r="A295" s="13"/>
      <c r="B295" s="13"/>
      <c r="C295" s="13"/>
      <c r="D295" s="4"/>
      <c r="E295" s="10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>
      <c r="A296" s="13"/>
      <c r="B296" s="13"/>
      <c r="C296" s="13"/>
      <c r="D296" s="4"/>
      <c r="E296" s="10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>
      <c r="A297" s="13"/>
      <c r="B297" s="13"/>
      <c r="C297" s="13"/>
      <c r="D297" s="4"/>
      <c r="E297" s="10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>
      <c r="A298" s="13"/>
      <c r="B298" s="13"/>
      <c r="C298" s="13"/>
      <c r="D298" s="4"/>
      <c r="E298" s="10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>
      <c r="A299" s="13"/>
      <c r="B299" s="13"/>
      <c r="C299" s="13"/>
      <c r="D299" s="4"/>
      <c r="E299" s="10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>
      <c r="A300" s="13"/>
      <c r="B300" s="13"/>
      <c r="C300" s="13"/>
      <c r="D300" s="4"/>
      <c r="E300" s="10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>
      <c r="A301" s="13"/>
      <c r="B301" s="13"/>
      <c r="C301" s="13"/>
      <c r="D301" s="4"/>
      <c r="E301" s="10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>
      <c r="A302" s="13"/>
      <c r="B302" s="13"/>
      <c r="C302" s="13"/>
      <c r="D302" s="4"/>
      <c r="E302" s="10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>
      <c r="A303" s="13"/>
      <c r="B303" s="13"/>
      <c r="C303" s="13"/>
      <c r="D303" s="4"/>
      <c r="E303" s="10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>
      <c r="A304" s="13"/>
      <c r="B304" s="13"/>
      <c r="C304" s="13"/>
      <c r="D304" s="4"/>
      <c r="E304" s="10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>
      <c r="A305" s="13"/>
      <c r="B305" s="13"/>
      <c r="C305" s="13"/>
      <c r="D305" s="4"/>
      <c r="E305" s="10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>
      <c r="A306" s="13"/>
      <c r="B306" s="13"/>
      <c r="C306" s="13"/>
      <c r="D306" s="4"/>
      <c r="E306" s="10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>
      <c r="A307" s="13"/>
      <c r="B307" s="13"/>
      <c r="C307" s="13"/>
      <c r="D307" s="4"/>
      <c r="E307" s="10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>
      <c r="A308" s="13"/>
      <c r="B308" s="13"/>
      <c r="C308" s="13"/>
      <c r="D308" s="4"/>
      <c r="E308" s="10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>
      <c r="A309" s="13"/>
      <c r="B309" s="13"/>
      <c r="C309" s="13"/>
      <c r="D309" s="4"/>
      <c r="E309" s="10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>
      <c r="A310" s="13"/>
      <c r="B310" s="13"/>
      <c r="C310" s="13"/>
      <c r="D310" s="4"/>
      <c r="E310" s="10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>
      <c r="A311" s="13"/>
      <c r="B311" s="13"/>
      <c r="C311" s="13"/>
      <c r="D311" s="4"/>
      <c r="E311" s="10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>
      <c r="A312" s="13"/>
      <c r="B312" s="13"/>
      <c r="C312" s="13"/>
      <c r="D312" s="4"/>
      <c r="E312" s="10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>
      <c r="A313" s="13"/>
      <c r="B313" s="13"/>
      <c r="C313" s="13"/>
      <c r="D313" s="4"/>
      <c r="E313" s="10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>
      <c r="A314" s="13"/>
      <c r="B314" s="13"/>
      <c r="C314" s="13"/>
      <c r="D314" s="4"/>
      <c r="E314" s="10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>
      <c r="A315" s="13"/>
      <c r="B315" s="13"/>
      <c r="C315" s="13"/>
      <c r="D315" s="4"/>
      <c r="E315" s="10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>
      <c r="A316" s="13"/>
      <c r="B316" s="13"/>
      <c r="C316" s="13"/>
      <c r="D316" s="4"/>
      <c r="E316" s="10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>
      <c r="A317" s="13"/>
      <c r="B317" s="13"/>
      <c r="C317" s="13"/>
      <c r="D317" s="4"/>
      <c r="E317" s="10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>
      <c r="A318" s="13"/>
      <c r="B318" s="13"/>
      <c r="C318" s="13"/>
      <c r="D318" s="4"/>
      <c r="E318" s="10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>
      <c r="A319" s="13"/>
      <c r="B319" s="13"/>
      <c r="C319" s="13"/>
      <c r="D319" s="4"/>
      <c r="E319" s="10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>
      <c r="A320" s="13"/>
      <c r="B320" s="13"/>
      <c r="C320" s="13"/>
      <c r="D320" s="4"/>
      <c r="E320" s="10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>
      <c r="A321" s="13"/>
      <c r="B321" s="13"/>
      <c r="C321" s="13"/>
      <c r="D321" s="4"/>
      <c r="E321" s="10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>
      <c r="A322" s="13"/>
      <c r="B322" s="13"/>
      <c r="C322" s="13"/>
      <c r="D322" s="4"/>
      <c r="E322" s="10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>
      <c r="A323" s="13"/>
      <c r="B323" s="13"/>
      <c r="C323" s="13"/>
      <c r="D323" s="4"/>
      <c r="E323" s="10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>
      <c r="A324" s="13"/>
      <c r="B324" s="13"/>
      <c r="C324" s="13"/>
      <c r="D324" s="4"/>
      <c r="E324" s="10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>
      <c r="A325" s="13"/>
      <c r="B325" s="13"/>
      <c r="C325" s="13"/>
      <c r="D325" s="4"/>
      <c r="E325" s="10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>
      <c r="A326" s="13"/>
      <c r="B326" s="13"/>
      <c r="C326" s="13"/>
      <c r="D326" s="4"/>
      <c r="E326" s="10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>
      <c r="A327" s="13"/>
      <c r="B327" s="13"/>
      <c r="C327" s="13"/>
      <c r="D327" s="4"/>
      <c r="E327" s="10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>
      <c r="A328" s="13"/>
      <c r="B328" s="13"/>
      <c r="C328" s="13"/>
      <c r="D328" s="4"/>
      <c r="E328" s="10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>
      <c r="A329" s="13"/>
      <c r="B329" s="13"/>
      <c r="C329" s="13"/>
      <c r="D329" s="4"/>
      <c r="E329" s="10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>
      <c r="A330" s="13"/>
      <c r="B330" s="13"/>
      <c r="C330" s="13"/>
      <c r="D330" s="4"/>
      <c r="E330" s="10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>
      <c r="A331" s="13"/>
      <c r="B331" s="13"/>
      <c r="C331" s="13"/>
      <c r="D331" s="4"/>
      <c r="E331" s="10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>
      <c r="A332" s="13"/>
      <c r="B332" s="13"/>
      <c r="C332" s="13"/>
      <c r="D332" s="4"/>
      <c r="E332" s="10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>
      <c r="A333" s="13"/>
      <c r="B333" s="13"/>
      <c r="C333" s="13"/>
      <c r="D333" s="4"/>
      <c r="E333" s="10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>
      <c r="A334" s="13"/>
      <c r="B334" s="13"/>
      <c r="C334" s="13"/>
      <c r="D334" s="4"/>
      <c r="E334" s="10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>
      <c r="A335" s="13"/>
      <c r="B335" s="13"/>
      <c r="C335" s="13"/>
      <c r="D335" s="4"/>
      <c r="E335" s="10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>
      <c r="A336" s="13"/>
      <c r="B336" s="13"/>
      <c r="C336" s="13"/>
      <c r="D336" s="4"/>
      <c r="E336" s="10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>
      <c r="A337" s="13"/>
      <c r="B337" s="13"/>
      <c r="C337" s="13"/>
      <c r="D337" s="4"/>
      <c r="E337" s="10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>
      <c r="A338" s="13"/>
      <c r="B338" s="13"/>
      <c r="C338" s="13"/>
      <c r="D338" s="4"/>
      <c r="E338" s="10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>
      <c r="A339" s="13"/>
      <c r="B339" s="13"/>
      <c r="C339" s="13"/>
      <c r="D339" s="4"/>
      <c r="E339" s="10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>
      <c r="A340" s="13"/>
      <c r="B340" s="13"/>
      <c r="C340" s="13"/>
      <c r="D340" s="4"/>
      <c r="E340" s="10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>
      <c r="A341" s="13"/>
      <c r="B341" s="13"/>
      <c r="C341" s="13"/>
      <c r="D341" s="4"/>
      <c r="E341" s="10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>
      <c r="A342" s="13"/>
      <c r="B342" s="13"/>
      <c r="C342" s="13"/>
      <c r="D342" s="4"/>
      <c r="E342" s="10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>
      <c r="A343" s="13"/>
      <c r="B343" s="13"/>
      <c r="C343" s="13"/>
      <c r="D343" s="4"/>
      <c r="E343" s="10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>
      <c r="A344" s="13"/>
      <c r="B344" s="13"/>
      <c r="C344" s="13"/>
      <c r="D344" s="4"/>
      <c r="E344" s="10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>
      <c r="A345" s="13"/>
      <c r="B345" s="13"/>
      <c r="C345" s="13"/>
      <c r="D345" s="4"/>
      <c r="E345" s="10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>
      <c r="A346" s="13"/>
      <c r="B346" s="13"/>
      <c r="C346" s="13"/>
      <c r="D346" s="4"/>
      <c r="E346" s="10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>
      <c r="A347" s="13"/>
      <c r="B347" s="13"/>
      <c r="C347" s="13"/>
      <c r="D347" s="4"/>
      <c r="E347" s="10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>
      <c r="A348" s="13"/>
      <c r="B348" s="13"/>
      <c r="C348" s="13"/>
      <c r="D348" s="4"/>
      <c r="E348" s="10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>
      <c r="A349" s="13"/>
      <c r="B349" s="13"/>
      <c r="C349" s="13"/>
      <c r="D349" s="4"/>
      <c r="E349" s="10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>
      <c r="A350" s="13"/>
      <c r="B350" s="13"/>
      <c r="C350" s="13"/>
      <c r="D350" s="4"/>
      <c r="E350" s="10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>
      <c r="A351" s="13"/>
      <c r="B351" s="13"/>
      <c r="C351" s="13"/>
      <c r="D351" s="4"/>
      <c r="E351" s="10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>
      <c r="A352" s="13"/>
      <c r="B352" s="13"/>
      <c r="C352" s="13"/>
      <c r="D352" s="4"/>
      <c r="E352" s="10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>
      <c r="A353" s="13"/>
      <c r="B353" s="13"/>
      <c r="C353" s="13"/>
      <c r="D353" s="4"/>
      <c r="E353" s="10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>
      <c r="A354" s="13"/>
      <c r="B354" s="13"/>
      <c r="C354" s="13"/>
      <c r="D354" s="4"/>
      <c r="E354" s="10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>
      <c r="A355" s="13"/>
      <c r="B355" s="13"/>
      <c r="C355" s="13"/>
      <c r="D355" s="4"/>
      <c r="E355" s="10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>
      <c r="A356" s="13"/>
      <c r="B356" s="13"/>
      <c r="C356" s="13"/>
      <c r="D356" s="4"/>
      <c r="E356" s="10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>
      <c r="A357" s="13"/>
      <c r="B357" s="13"/>
      <c r="C357" s="13"/>
      <c r="D357" s="4"/>
      <c r="E357" s="10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>
      <c r="A358" s="13"/>
      <c r="B358" s="13"/>
      <c r="C358" s="13"/>
      <c r="D358" s="4"/>
      <c r="E358" s="10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>
      <c r="A359" s="13"/>
      <c r="B359" s="13"/>
      <c r="C359" s="13"/>
      <c r="D359" s="4"/>
      <c r="E359" s="10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>
      <c r="A360" s="13"/>
      <c r="B360" s="13"/>
      <c r="C360" s="13"/>
      <c r="D360" s="4"/>
      <c r="E360" s="10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>
      <c r="A361" s="13"/>
      <c r="B361" s="13"/>
      <c r="C361" s="13"/>
      <c r="D361" s="4"/>
      <c r="E361" s="10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>
      <c r="A362" s="13"/>
      <c r="B362" s="13"/>
      <c r="C362" s="13"/>
      <c r="D362" s="4"/>
      <c r="E362" s="10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>
      <c r="A363" s="13"/>
      <c r="B363" s="13"/>
      <c r="C363" s="13"/>
      <c r="D363" s="4"/>
      <c r="E363" s="10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>
      <c r="A364" s="13"/>
      <c r="B364" s="13"/>
      <c r="C364" s="13"/>
      <c r="D364" s="4"/>
      <c r="E364" s="10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>
      <c r="A365" s="13"/>
      <c r="B365" s="13"/>
      <c r="C365" s="13"/>
      <c r="D365" s="4"/>
      <c r="E365" s="10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>
      <c r="A366" s="13"/>
      <c r="B366" s="13"/>
      <c r="C366" s="13"/>
      <c r="D366" s="4"/>
      <c r="E366" s="10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>
      <c r="A367" s="13"/>
      <c r="B367" s="13"/>
      <c r="C367" s="13"/>
      <c r="D367" s="4"/>
      <c r="E367" s="10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>
      <c r="A368" s="13"/>
      <c r="B368" s="13"/>
      <c r="C368" s="13"/>
      <c r="D368" s="4"/>
      <c r="E368" s="10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>
      <c r="A369" s="13"/>
      <c r="B369" s="13"/>
      <c r="C369" s="13"/>
      <c r="D369" s="4"/>
      <c r="E369" s="10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>
      <c r="A370" s="13"/>
      <c r="B370" s="13"/>
      <c r="C370" s="13"/>
      <c r="D370" s="4"/>
      <c r="E370" s="10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>
      <c r="A371" s="13"/>
      <c r="B371" s="13"/>
      <c r="C371" s="13"/>
      <c r="D371" s="4"/>
      <c r="E371" s="10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>
      <c r="A372" s="13"/>
      <c r="B372" s="13"/>
      <c r="C372" s="13"/>
      <c r="D372" s="4"/>
      <c r="E372" s="10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>
      <c r="A373" s="13"/>
      <c r="B373" s="13"/>
      <c r="C373" s="13"/>
      <c r="D373" s="4"/>
      <c r="E373" s="10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>
      <c r="A374" s="13"/>
      <c r="B374" s="13"/>
      <c r="C374" s="13"/>
      <c r="D374" s="4"/>
      <c r="E374" s="10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>
      <c r="A375" s="13"/>
      <c r="B375" s="13"/>
      <c r="C375" s="13"/>
      <c r="D375" s="4"/>
      <c r="E375" s="10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>
      <c r="A376" s="13"/>
      <c r="B376" s="13"/>
      <c r="C376" s="13"/>
      <c r="D376" s="4"/>
      <c r="E376" s="10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>
      <c r="A377" s="13"/>
      <c r="B377" s="13"/>
      <c r="C377" s="13"/>
      <c r="D377" s="4"/>
      <c r="E377" s="10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>
      <c r="A378" s="13"/>
      <c r="B378" s="13"/>
      <c r="C378" s="13"/>
      <c r="D378" s="4"/>
      <c r="E378" s="10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>
      <c r="A379" s="13"/>
      <c r="B379" s="13"/>
      <c r="C379" s="13"/>
      <c r="D379" s="4"/>
      <c r="E379" s="10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>
      <c r="A380" s="13"/>
      <c r="B380" s="13"/>
      <c r="C380" s="13"/>
      <c r="D380" s="4"/>
      <c r="E380" s="10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>
      <c r="A381" s="13"/>
      <c r="B381" s="13"/>
      <c r="C381" s="13"/>
      <c r="D381" s="4"/>
      <c r="E381" s="10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>
      <c r="A382" s="13"/>
      <c r="B382" s="13"/>
      <c r="C382" s="13"/>
      <c r="D382" s="4"/>
      <c r="E382" s="10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>
      <c r="A383" s="13"/>
      <c r="B383" s="13"/>
      <c r="C383" s="13"/>
      <c r="D383" s="4"/>
      <c r="E383" s="10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>
      <c r="A384" s="13"/>
      <c r="B384" s="13"/>
      <c r="C384" s="13"/>
      <c r="D384" s="4"/>
      <c r="E384" s="10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>
      <c r="A385" s="13"/>
      <c r="B385" s="13"/>
      <c r="C385" s="13"/>
      <c r="D385" s="4"/>
      <c r="E385" s="10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>
      <c r="A386" s="13"/>
      <c r="B386" s="13"/>
      <c r="C386" s="13"/>
      <c r="D386" s="4"/>
      <c r="E386" s="10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>
      <c r="A387" s="13"/>
      <c r="B387" s="13"/>
      <c r="C387" s="13"/>
      <c r="D387" s="4"/>
      <c r="E387" s="10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>
      <c r="A388" s="13"/>
      <c r="B388" s="13"/>
      <c r="C388" s="13"/>
      <c r="D388" s="4"/>
      <c r="E388" s="10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>
      <c r="A389" s="13"/>
      <c r="B389" s="13"/>
      <c r="C389" s="13"/>
      <c r="D389" s="4"/>
      <c r="E389" s="10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>
      <c r="A390" s="13"/>
      <c r="B390" s="13"/>
      <c r="C390" s="13"/>
      <c r="D390" s="4"/>
      <c r="E390" s="10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>
      <c r="A391" s="13"/>
      <c r="B391" s="13"/>
      <c r="C391" s="13"/>
      <c r="D391" s="4"/>
      <c r="E391" s="10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>
      <c r="A392" s="13"/>
      <c r="B392" s="13"/>
      <c r="C392" s="13"/>
      <c r="D392" s="4"/>
      <c r="E392" s="10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>
      <c r="A393" s="13"/>
      <c r="B393" s="13"/>
      <c r="C393" s="13"/>
      <c r="D393" s="4"/>
      <c r="E393" s="10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>
      <c r="A394" s="13"/>
      <c r="B394" s="13"/>
      <c r="C394" s="13"/>
      <c r="D394" s="4"/>
      <c r="E394" s="10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>
      <c r="A395" s="13"/>
      <c r="B395" s="13"/>
      <c r="C395" s="13"/>
      <c r="D395" s="4"/>
      <c r="E395" s="10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>
      <c r="A396" s="13"/>
      <c r="B396" s="13"/>
      <c r="C396" s="13"/>
      <c r="D396" s="4"/>
      <c r="E396" s="10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>
      <c r="A397" s="13"/>
      <c r="B397" s="13"/>
      <c r="C397" s="13"/>
      <c r="D397" s="4"/>
      <c r="E397" s="10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>
      <c r="A398" s="13"/>
      <c r="B398" s="13"/>
      <c r="C398" s="13"/>
      <c r="D398" s="4"/>
      <c r="E398" s="10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>
      <c r="A399" s="13"/>
      <c r="B399" s="13"/>
      <c r="C399" s="13"/>
      <c r="D399" s="4"/>
      <c r="E399" s="10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>
      <c r="A400" s="13"/>
      <c r="B400" s="13"/>
      <c r="C400" s="13"/>
      <c r="D400" s="4"/>
      <c r="E400" s="10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>
      <c r="A401" s="13"/>
      <c r="B401" s="13"/>
      <c r="C401" s="13"/>
      <c r="D401" s="4"/>
      <c r="E401" s="10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>
      <c r="A402" s="13"/>
      <c r="B402" s="13"/>
      <c r="C402" s="13"/>
      <c r="D402" s="4"/>
      <c r="E402" s="10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>
      <c r="A403" s="13"/>
      <c r="B403" s="13"/>
      <c r="C403" s="13"/>
      <c r="D403" s="4"/>
      <c r="E403" s="10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>
      <c r="A404" s="13"/>
      <c r="B404" s="13"/>
      <c r="C404" s="13"/>
      <c r="D404" s="4"/>
      <c r="E404" s="10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>
      <c r="A405" s="13"/>
      <c r="B405" s="13"/>
      <c r="C405" s="13"/>
      <c r="D405" s="4"/>
      <c r="E405" s="10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>
      <c r="A406" s="13"/>
      <c r="B406" s="13"/>
      <c r="C406" s="13"/>
      <c r="D406" s="4"/>
      <c r="E406" s="10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>
      <c r="A407" s="13"/>
      <c r="B407" s="13"/>
      <c r="C407" s="13"/>
      <c r="D407" s="4"/>
      <c r="E407" s="10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>
      <c r="A408" s="13"/>
      <c r="B408" s="13"/>
      <c r="C408" s="13"/>
      <c r="D408" s="4"/>
      <c r="E408" s="10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>
      <c r="A409" s="13"/>
      <c r="B409" s="13"/>
      <c r="C409" s="13"/>
      <c r="D409" s="4"/>
      <c r="E409" s="10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>
      <c r="A410" s="13"/>
      <c r="B410" s="13"/>
      <c r="C410" s="13"/>
      <c r="D410" s="4"/>
      <c r="E410" s="10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>
      <c r="A411" s="13"/>
      <c r="B411" s="13"/>
      <c r="C411" s="13"/>
      <c r="D411" s="4"/>
      <c r="E411" s="10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>
      <c r="A412" s="13"/>
      <c r="B412" s="13"/>
      <c r="C412" s="13"/>
      <c r="D412" s="4"/>
      <c r="E412" s="10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>
      <c r="A413" s="13"/>
      <c r="B413" s="13"/>
      <c r="C413" s="13"/>
      <c r="D413" s="4"/>
      <c r="E413" s="10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>
      <c r="A414" s="13"/>
      <c r="B414" s="13"/>
      <c r="C414" s="13"/>
      <c r="D414" s="4"/>
      <c r="E414" s="10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>
      <c r="A415" s="13"/>
      <c r="B415" s="13"/>
      <c r="C415" s="13"/>
      <c r="D415" s="4"/>
      <c r="E415" s="10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>
      <c r="A416" s="13"/>
      <c r="B416" s="13"/>
      <c r="C416" s="13"/>
      <c r="D416" s="4"/>
      <c r="E416" s="10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>
      <c r="A417" s="13"/>
      <c r="B417" s="13"/>
      <c r="C417" s="13"/>
      <c r="D417" s="4"/>
      <c r="E417" s="10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>
      <c r="A418" s="13"/>
      <c r="B418" s="13"/>
      <c r="C418" s="13"/>
      <c r="D418" s="4"/>
      <c r="E418" s="10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>
      <c r="A419" s="13"/>
      <c r="B419" s="13"/>
      <c r="C419" s="13"/>
      <c r="D419" s="4"/>
      <c r="E419" s="10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>
      <c r="A420" s="13"/>
      <c r="B420" s="13"/>
      <c r="C420" s="13"/>
      <c r="D420" s="4"/>
      <c r="E420" s="10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>
      <c r="A421" s="13"/>
      <c r="B421" s="13"/>
      <c r="C421" s="13"/>
      <c r="D421" s="4"/>
      <c r="E421" s="10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>
      <c r="A422" s="13"/>
      <c r="B422" s="13"/>
      <c r="C422" s="13"/>
      <c r="D422" s="4"/>
      <c r="E422" s="10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>
      <c r="A423" s="13"/>
      <c r="B423" s="13"/>
      <c r="C423" s="13"/>
      <c r="D423" s="4"/>
      <c r="E423" s="10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>
      <c r="A424" s="13"/>
      <c r="B424" s="13"/>
      <c r="C424" s="13"/>
      <c r="D424" s="4"/>
      <c r="E424" s="10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>
      <c r="A425" s="13"/>
      <c r="B425" s="13"/>
      <c r="C425" s="13"/>
      <c r="D425" s="4"/>
      <c r="E425" s="10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>
      <c r="A426" s="13"/>
      <c r="B426" s="13"/>
      <c r="C426" s="13"/>
      <c r="D426" s="4"/>
      <c r="E426" s="10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>
      <c r="A427" s="13"/>
      <c r="B427" s="13"/>
      <c r="C427" s="13"/>
      <c r="D427" s="4"/>
      <c r="E427" s="10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>
      <c r="A428" s="13"/>
      <c r="B428" s="13"/>
      <c r="C428" s="13"/>
      <c r="D428" s="4"/>
      <c r="E428" s="10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>
      <c r="A429" s="13"/>
      <c r="B429" s="13"/>
      <c r="C429" s="13"/>
      <c r="D429" s="4"/>
      <c r="E429" s="10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>
      <c r="A430" s="13"/>
      <c r="B430" s="13"/>
      <c r="C430" s="13"/>
      <c r="D430" s="4"/>
      <c r="E430" s="10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>
      <c r="A431" s="13"/>
      <c r="B431" s="13"/>
      <c r="C431" s="13"/>
      <c r="D431" s="4"/>
      <c r="E431" s="10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>
      <c r="A432" s="13"/>
      <c r="B432" s="13"/>
      <c r="C432" s="13"/>
      <c r="D432" s="4"/>
      <c r="E432" s="10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>
      <c r="A433" s="13"/>
      <c r="B433" s="13"/>
      <c r="C433" s="13"/>
      <c r="D433" s="4"/>
      <c r="E433" s="10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>
      <c r="A434" s="13"/>
      <c r="B434" s="13"/>
      <c r="C434" s="13"/>
      <c r="D434" s="4"/>
      <c r="E434" s="10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>
      <c r="A435" s="13"/>
      <c r="B435" s="13"/>
      <c r="C435" s="13"/>
      <c r="D435" s="4"/>
      <c r="E435" s="10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>
      <c r="A436" s="13"/>
      <c r="B436" s="13"/>
      <c r="C436" s="13"/>
      <c r="D436" s="4"/>
      <c r="E436" s="10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>
      <c r="A437" s="13"/>
      <c r="B437" s="13"/>
      <c r="C437" s="13"/>
      <c r="D437" s="4"/>
      <c r="E437" s="10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>
      <c r="A438" s="13"/>
      <c r="B438" s="13"/>
      <c r="C438" s="13"/>
      <c r="D438" s="4"/>
      <c r="E438" s="10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>
      <c r="A439" s="13"/>
      <c r="B439" s="13"/>
      <c r="C439" s="13"/>
      <c r="D439" s="4"/>
      <c r="E439" s="10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>
      <c r="A440" s="13"/>
      <c r="B440" s="13"/>
      <c r="C440" s="13"/>
      <c r="D440" s="4"/>
      <c r="E440" s="10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>
      <c r="A441" s="13"/>
      <c r="B441" s="13"/>
      <c r="C441" s="13"/>
      <c r="D441" s="4"/>
      <c r="E441" s="10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>
      <c r="A442" s="13"/>
      <c r="B442" s="13"/>
      <c r="C442" s="13"/>
      <c r="D442" s="4"/>
      <c r="E442" s="10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>
      <c r="A443" s="13"/>
      <c r="B443" s="13"/>
      <c r="C443" s="13"/>
      <c r="D443" s="4"/>
      <c r="E443" s="10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>
      <c r="A444" s="13"/>
      <c r="B444" s="13"/>
      <c r="C444" s="13"/>
      <c r="D444" s="4"/>
      <c r="E444" s="10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>
      <c r="A445" s="13"/>
      <c r="B445" s="13"/>
      <c r="C445" s="13"/>
      <c r="D445" s="4"/>
      <c r="E445" s="10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>
      <c r="A446" s="13"/>
      <c r="B446" s="13"/>
      <c r="C446" s="13"/>
      <c r="D446" s="4"/>
      <c r="E446" s="10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>
      <c r="A447" s="13"/>
      <c r="B447" s="13"/>
      <c r="C447" s="13"/>
      <c r="D447" s="4"/>
      <c r="E447" s="10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>
      <c r="A448" s="13"/>
      <c r="B448" s="13"/>
      <c r="C448" s="13"/>
      <c r="D448" s="4"/>
      <c r="E448" s="10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>
      <c r="A449" s="13"/>
      <c r="B449" s="13"/>
      <c r="C449" s="13"/>
      <c r="D449" s="4"/>
      <c r="E449" s="10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>
      <c r="A450" s="13"/>
      <c r="B450" s="13"/>
      <c r="C450" s="13"/>
      <c r="D450" s="4"/>
      <c r="E450" s="10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>
      <c r="A451" s="13"/>
      <c r="B451" s="13"/>
      <c r="C451" s="13"/>
      <c r="D451" s="4"/>
      <c r="E451" s="10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>
      <c r="A452" s="13"/>
      <c r="B452" s="13"/>
      <c r="C452" s="13"/>
      <c r="D452" s="4"/>
      <c r="E452" s="10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>
      <c r="A453" s="13"/>
      <c r="B453" s="13"/>
      <c r="C453" s="13"/>
      <c r="D453" s="4"/>
      <c r="E453" s="10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>
      <c r="A454" s="13"/>
      <c r="B454" s="13"/>
      <c r="C454" s="13"/>
      <c r="D454" s="4"/>
      <c r="E454" s="10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>
      <c r="A455" s="13"/>
      <c r="B455" s="13"/>
      <c r="C455" s="13"/>
      <c r="D455" s="4"/>
      <c r="E455" s="10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>
      <c r="A456" s="13"/>
      <c r="B456" s="13"/>
      <c r="C456" s="13"/>
      <c r="D456" s="4"/>
      <c r="E456" s="10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>
      <c r="A457" s="13"/>
      <c r="B457" s="13"/>
      <c r="C457" s="13"/>
      <c r="D457" s="4"/>
      <c r="E457" s="10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>
      <c r="A458" s="13"/>
      <c r="B458" s="13"/>
      <c r="C458" s="13"/>
      <c r="D458" s="4"/>
      <c r="E458" s="10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>
      <c r="A459" s="13"/>
      <c r="B459" s="13"/>
      <c r="C459" s="13"/>
      <c r="D459" s="4"/>
      <c r="E459" s="10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>
      <c r="A460" s="13"/>
      <c r="B460" s="13"/>
      <c r="C460" s="13"/>
      <c r="D460" s="4"/>
      <c r="E460" s="10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>
      <c r="A461" s="13"/>
      <c r="B461" s="13"/>
      <c r="C461" s="13"/>
      <c r="D461" s="4"/>
      <c r="E461" s="10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>
      <c r="A462" s="13"/>
      <c r="B462" s="13"/>
      <c r="C462" s="13"/>
      <c r="D462" s="4"/>
      <c r="E462" s="10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>
      <c r="A463" s="13"/>
      <c r="B463" s="13"/>
      <c r="C463" s="13"/>
      <c r="D463" s="4"/>
      <c r="E463" s="10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>
      <c r="A464" s="13"/>
      <c r="B464" s="13"/>
      <c r="C464" s="13"/>
      <c r="D464" s="4"/>
      <c r="E464" s="10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>
      <c r="A465" s="13"/>
      <c r="B465" s="13"/>
      <c r="C465" s="13"/>
      <c r="D465" s="4"/>
      <c r="E465" s="10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>
      <c r="A466" s="13"/>
      <c r="B466" s="13"/>
      <c r="C466" s="13"/>
      <c r="D466" s="4"/>
      <c r="E466" s="10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>
      <c r="A467" s="13"/>
      <c r="B467" s="13"/>
      <c r="C467" s="13"/>
      <c r="D467" s="4"/>
      <c r="E467" s="10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>
      <c r="A468" s="13"/>
      <c r="B468" s="13"/>
      <c r="C468" s="13"/>
      <c r="D468" s="4"/>
      <c r="E468" s="10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>
      <c r="A469" s="13"/>
      <c r="B469" s="13"/>
      <c r="C469" s="13"/>
      <c r="D469" s="4"/>
      <c r="E469" s="10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>
      <c r="A470" s="13"/>
      <c r="B470" s="13"/>
      <c r="C470" s="13"/>
      <c r="D470" s="4"/>
      <c r="E470" s="10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>
      <c r="A471" s="13"/>
      <c r="B471" s="13"/>
      <c r="C471" s="13"/>
      <c r="D471" s="4"/>
      <c r="E471" s="10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>
      <c r="A472" s="13"/>
      <c r="B472" s="13"/>
      <c r="C472" s="13"/>
      <c r="D472" s="4"/>
      <c r="E472" s="10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>
      <c r="A473" s="13"/>
      <c r="B473" s="13"/>
      <c r="C473" s="13"/>
      <c r="D473" s="4"/>
      <c r="E473" s="10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>
      <c r="A474" s="13"/>
      <c r="B474" s="13"/>
      <c r="C474" s="13"/>
      <c r="D474" s="4"/>
      <c r="E474" s="10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>
      <c r="A475" s="13"/>
      <c r="B475" s="13"/>
      <c r="C475" s="13"/>
      <c r="D475" s="4"/>
      <c r="E475" s="10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>
      <c r="A476" s="13"/>
      <c r="B476" s="13"/>
      <c r="C476" s="13"/>
      <c r="D476" s="4"/>
      <c r="E476" s="10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>
      <c r="A477" s="13"/>
      <c r="B477" s="13"/>
      <c r="C477" s="13"/>
      <c r="D477" s="4"/>
      <c r="E477" s="10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>
      <c r="A478" s="13"/>
      <c r="B478" s="13"/>
      <c r="C478" s="13"/>
      <c r="D478" s="4"/>
      <c r="E478" s="10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>
      <c r="A479" s="13"/>
      <c r="B479" s="13"/>
      <c r="C479" s="13"/>
      <c r="D479" s="4"/>
      <c r="E479" s="10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>
      <c r="A480" s="13"/>
      <c r="B480" s="13"/>
      <c r="C480" s="13"/>
      <c r="D480" s="4"/>
      <c r="E480" s="10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>
      <c r="A481" s="13"/>
      <c r="B481" s="13"/>
      <c r="C481" s="13"/>
      <c r="D481" s="4"/>
      <c r="E481" s="10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>
      <c r="A482" s="13"/>
      <c r="B482" s="13"/>
      <c r="C482" s="13"/>
      <c r="D482" s="4"/>
      <c r="E482" s="10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>
      <c r="A483" s="13"/>
      <c r="B483" s="13"/>
      <c r="C483" s="13"/>
      <c r="D483" s="4"/>
      <c r="E483" s="10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>
      <c r="A484" s="13"/>
      <c r="B484" s="13"/>
      <c r="C484" s="13"/>
      <c r="D484" s="4"/>
      <c r="E484" s="10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>
      <c r="A485" s="13"/>
      <c r="B485" s="13"/>
      <c r="C485" s="13"/>
      <c r="D485" s="4"/>
      <c r="E485" s="10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>
      <c r="A486" s="13"/>
      <c r="B486" s="13"/>
      <c r="C486" s="13"/>
      <c r="D486" s="4"/>
      <c r="E486" s="10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>
      <c r="A487" s="13"/>
      <c r="B487" s="13"/>
      <c r="C487" s="13"/>
      <c r="D487" s="4"/>
      <c r="E487" s="10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>
      <c r="A488" s="13"/>
      <c r="B488" s="13"/>
      <c r="C488" s="13"/>
      <c r="D488" s="4"/>
      <c r="E488" s="10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>
      <c r="A489" s="13"/>
      <c r="B489" s="13"/>
      <c r="C489" s="13"/>
      <c r="D489" s="4"/>
      <c r="E489" s="10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>
      <c r="A490" s="13"/>
      <c r="B490" s="13"/>
      <c r="C490" s="13"/>
      <c r="D490" s="4"/>
      <c r="E490" s="10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>
      <c r="A491" s="13"/>
      <c r="B491" s="13"/>
      <c r="C491" s="13"/>
      <c r="D491" s="4"/>
      <c r="E491" s="10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>
      <c r="A492" s="13"/>
      <c r="B492" s="13"/>
      <c r="C492" s="13"/>
      <c r="D492" s="4"/>
      <c r="E492" s="10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>
      <c r="A493" s="13"/>
      <c r="B493" s="13"/>
      <c r="C493" s="13"/>
      <c r="D493" s="4"/>
      <c r="E493" s="10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>
      <c r="A494" s="13"/>
      <c r="B494" s="13"/>
      <c r="C494" s="13"/>
      <c r="D494" s="4"/>
      <c r="E494" s="10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>
      <c r="A495" s="13"/>
      <c r="B495" s="13"/>
      <c r="C495" s="13"/>
      <c r="D495" s="4"/>
      <c r="E495" s="10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>
      <c r="A496" s="13"/>
      <c r="B496" s="13"/>
      <c r="C496" s="13"/>
      <c r="D496" s="4"/>
      <c r="E496" s="10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>
      <c r="A497" s="13"/>
      <c r="B497" s="13"/>
      <c r="C497" s="13"/>
      <c r="D497" s="4"/>
      <c r="E497" s="10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>
      <c r="A498" s="13"/>
      <c r="B498" s="13"/>
      <c r="C498" s="13"/>
      <c r="D498" s="4"/>
      <c r="E498" s="10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>
      <c r="A499" s="13"/>
      <c r="B499" s="13"/>
      <c r="C499" s="13"/>
      <c r="D499" s="4"/>
      <c r="E499" s="10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>
      <c r="A500" s="13"/>
      <c r="B500" s="13"/>
      <c r="C500" s="13"/>
      <c r="D500" s="4"/>
      <c r="E500" s="10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>
      <c r="A501" s="13"/>
      <c r="B501" s="13"/>
      <c r="C501" s="13"/>
      <c r="D501" s="4"/>
      <c r="E501" s="10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>
      <c r="A502" s="13"/>
      <c r="B502" s="13"/>
      <c r="C502" s="13"/>
      <c r="D502" s="4"/>
      <c r="E502" s="10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>
      <c r="A503" s="13"/>
      <c r="B503" s="13"/>
      <c r="C503" s="13"/>
      <c r="D503" s="4"/>
      <c r="E503" s="10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>
      <c r="A504" s="13"/>
      <c r="B504" s="13"/>
      <c r="C504" s="13"/>
      <c r="D504" s="4"/>
      <c r="E504" s="10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>
      <c r="A505" s="13"/>
      <c r="B505" s="13"/>
      <c r="C505" s="13"/>
      <c r="D505" s="4"/>
      <c r="E505" s="10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>
      <c r="A506" s="13"/>
      <c r="B506" s="13"/>
      <c r="C506" s="13"/>
      <c r="D506" s="4"/>
      <c r="E506" s="10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>
      <c r="A507" s="13"/>
      <c r="B507" s="13"/>
      <c r="C507" s="13"/>
      <c r="D507" s="4"/>
      <c r="E507" s="10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>
      <c r="A508" s="13"/>
      <c r="B508" s="13"/>
      <c r="C508" s="13"/>
      <c r="D508" s="4"/>
      <c r="E508" s="10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>
      <c r="A509" s="13"/>
      <c r="B509" s="13"/>
      <c r="C509" s="13"/>
      <c r="D509" s="4"/>
      <c r="E509" s="10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>
      <c r="A510" s="13"/>
      <c r="B510" s="13"/>
      <c r="C510" s="13"/>
      <c r="D510" s="4"/>
      <c r="E510" s="10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>
      <c r="A511" s="13"/>
      <c r="B511" s="13"/>
      <c r="C511" s="13"/>
      <c r="D511" s="4"/>
      <c r="E511" s="10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>
      <c r="A512" s="13"/>
      <c r="B512" s="13"/>
      <c r="C512" s="13"/>
      <c r="D512" s="4"/>
      <c r="E512" s="10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>
      <c r="A513" s="13"/>
      <c r="B513" s="13"/>
      <c r="C513" s="13"/>
      <c r="D513" s="4"/>
      <c r="E513" s="10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>
      <c r="A514" s="13"/>
      <c r="B514" s="13"/>
      <c r="C514" s="13"/>
      <c r="D514" s="4"/>
      <c r="E514" s="10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>
      <c r="A515" s="13"/>
      <c r="B515" s="13"/>
      <c r="C515" s="13"/>
      <c r="D515" s="4"/>
      <c r="E515" s="10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>
      <c r="A516" s="13"/>
      <c r="B516" s="13"/>
      <c r="C516" s="13"/>
      <c r="D516" s="4"/>
      <c r="E516" s="10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>
      <c r="A517" s="13"/>
      <c r="B517" s="13"/>
      <c r="C517" s="13"/>
      <c r="D517" s="4"/>
      <c r="E517" s="10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>
      <c r="A518" s="13"/>
      <c r="B518" s="13"/>
      <c r="C518" s="13"/>
      <c r="D518" s="4"/>
      <c r="E518" s="10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>
      <c r="A519" s="13"/>
      <c r="B519" s="13"/>
      <c r="C519" s="13"/>
      <c r="D519" s="4"/>
      <c r="E519" s="10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>
      <c r="A520" s="13"/>
      <c r="B520" s="13"/>
      <c r="C520" s="13"/>
      <c r="D520" s="4"/>
      <c r="E520" s="10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>
      <c r="A521" s="13"/>
      <c r="B521" s="13"/>
      <c r="C521" s="13"/>
      <c r="D521" s="4"/>
      <c r="E521" s="10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>
      <c r="A522" s="13"/>
      <c r="B522" s="13"/>
      <c r="C522" s="13"/>
      <c r="D522" s="4"/>
      <c r="E522" s="10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>
      <c r="A523" s="13"/>
      <c r="B523" s="13"/>
      <c r="C523" s="13"/>
      <c r="D523" s="4"/>
      <c r="E523" s="10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>
      <c r="A524" s="13"/>
      <c r="B524" s="13"/>
      <c r="C524" s="13"/>
      <c r="D524" s="4"/>
      <c r="E524" s="10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>
      <c r="A525" s="13"/>
      <c r="B525" s="13"/>
      <c r="C525" s="13"/>
      <c r="D525" s="4"/>
      <c r="E525" s="10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>
      <c r="A526" s="13"/>
      <c r="B526" s="13"/>
      <c r="C526" s="13"/>
      <c r="D526" s="4"/>
      <c r="E526" s="10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>
      <c r="A527" s="13"/>
      <c r="B527" s="13"/>
      <c r="C527" s="13"/>
      <c r="D527" s="4"/>
      <c r="E527" s="10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>
      <c r="A528" s="13"/>
      <c r="B528" s="13"/>
      <c r="C528" s="13"/>
      <c r="D528" s="4"/>
      <c r="E528" s="10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>
      <c r="A529" s="13"/>
      <c r="B529" s="13"/>
      <c r="C529" s="13"/>
      <c r="D529" s="4"/>
      <c r="E529" s="10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>
      <c r="A530" s="13"/>
      <c r="B530" s="13"/>
      <c r="C530" s="13"/>
      <c r="D530" s="4"/>
      <c r="E530" s="10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>
      <c r="A531" s="13"/>
      <c r="B531" s="13"/>
      <c r="C531" s="13"/>
      <c r="D531" s="4"/>
      <c r="E531" s="10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>
      <c r="A532" s="13"/>
      <c r="B532" s="13"/>
      <c r="C532" s="13"/>
      <c r="D532" s="4"/>
      <c r="E532" s="10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>
      <c r="A533" s="13"/>
      <c r="B533" s="13"/>
      <c r="C533" s="13"/>
      <c r="D533" s="4"/>
      <c r="E533" s="10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>
      <c r="A534" s="13"/>
      <c r="B534" s="13"/>
      <c r="C534" s="13"/>
      <c r="D534" s="4"/>
      <c r="E534" s="10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>
      <c r="A535" s="13"/>
      <c r="B535" s="13"/>
      <c r="C535" s="13"/>
      <c r="D535" s="4"/>
      <c r="E535" s="10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>
      <c r="A536" s="13"/>
      <c r="B536" s="13"/>
      <c r="C536" s="13"/>
      <c r="D536" s="4"/>
      <c r="E536" s="10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>
      <c r="A537" s="13"/>
      <c r="B537" s="13"/>
      <c r="C537" s="13"/>
      <c r="D537" s="4"/>
      <c r="E537" s="10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>
      <c r="A538" s="13"/>
      <c r="B538" s="13"/>
      <c r="C538" s="13"/>
      <c r="D538" s="4"/>
      <c r="E538" s="10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>
      <c r="A539" s="13"/>
      <c r="B539" s="13"/>
      <c r="C539" s="13"/>
      <c r="D539" s="4"/>
      <c r="E539" s="10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>
      <c r="A540" s="13"/>
      <c r="B540" s="13"/>
      <c r="C540" s="13"/>
      <c r="D540" s="4"/>
      <c r="E540" s="10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>
      <c r="A541" s="13"/>
      <c r="B541" s="13"/>
      <c r="C541" s="13"/>
      <c r="D541" s="4"/>
      <c r="E541" s="10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>
      <c r="A542" s="13"/>
      <c r="B542" s="13"/>
      <c r="C542" s="13"/>
      <c r="D542" s="4"/>
      <c r="E542" s="10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>
      <c r="A543" s="13"/>
      <c r="B543" s="13"/>
      <c r="C543" s="13"/>
      <c r="D543" s="4"/>
      <c r="E543" s="10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>
      <c r="A544" s="13"/>
      <c r="B544" s="13"/>
      <c r="C544" s="13"/>
      <c r="D544" s="4"/>
      <c r="E544" s="10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>
      <c r="A545" s="13"/>
      <c r="B545" s="13"/>
      <c r="C545" s="13"/>
      <c r="D545" s="4"/>
      <c r="E545" s="10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>
      <c r="A546" s="13"/>
      <c r="B546" s="13"/>
      <c r="C546" s="13"/>
      <c r="D546" s="4"/>
      <c r="E546" s="10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>
      <c r="A547" s="13"/>
      <c r="B547" s="13"/>
      <c r="C547" s="13"/>
      <c r="D547" s="4"/>
      <c r="E547" s="10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>
      <c r="A548" s="13"/>
      <c r="B548" s="13"/>
      <c r="C548" s="13"/>
      <c r="D548" s="4"/>
      <c r="E548" s="10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>
      <c r="A549" s="13"/>
      <c r="B549" s="13"/>
      <c r="C549" s="13"/>
      <c r="D549" s="4"/>
      <c r="E549" s="10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>
      <c r="A550" s="13"/>
      <c r="B550" s="13"/>
      <c r="C550" s="13"/>
      <c r="D550" s="4"/>
      <c r="E550" s="10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>
      <c r="A551" s="13"/>
      <c r="B551" s="13"/>
      <c r="C551" s="13"/>
      <c r="D551" s="4"/>
      <c r="E551" s="10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>
      <c r="A552" s="13"/>
      <c r="B552" s="13"/>
      <c r="C552" s="13"/>
      <c r="D552" s="4"/>
      <c r="E552" s="10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>
      <c r="A553" s="13"/>
      <c r="B553" s="13"/>
      <c r="C553" s="13"/>
      <c r="D553" s="4"/>
      <c r="E553" s="10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>
      <c r="A554" s="13"/>
      <c r="B554" s="13"/>
      <c r="C554" s="13"/>
      <c r="D554" s="4"/>
      <c r="E554" s="10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>
      <c r="A555" s="13"/>
      <c r="B555" s="13"/>
      <c r="C555" s="13"/>
      <c r="D555" s="4"/>
      <c r="E555" s="10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>
      <c r="A556" s="13"/>
      <c r="B556" s="13"/>
      <c r="C556" s="13"/>
      <c r="D556" s="4"/>
      <c r="E556" s="10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>
      <c r="A557" s="13"/>
      <c r="B557" s="13"/>
      <c r="C557" s="13"/>
      <c r="D557" s="4"/>
      <c r="E557" s="10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>
      <c r="A558" s="13"/>
      <c r="B558" s="13"/>
      <c r="C558" s="13"/>
      <c r="D558" s="4"/>
      <c r="E558" s="10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>
      <c r="A559" s="13"/>
      <c r="B559" s="13"/>
      <c r="C559" s="13"/>
      <c r="D559" s="4"/>
      <c r="E559" s="10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>
      <c r="A560" s="13"/>
      <c r="B560" s="13"/>
      <c r="C560" s="13"/>
      <c r="D560" s="4"/>
      <c r="E560" s="10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>
      <c r="A561" s="13"/>
      <c r="B561" s="13"/>
      <c r="C561" s="13"/>
      <c r="D561" s="4"/>
      <c r="E561" s="10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>
      <c r="A562" s="13"/>
      <c r="B562" s="13"/>
      <c r="C562" s="13"/>
      <c r="D562" s="4"/>
      <c r="E562" s="10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>
      <c r="A563" s="13"/>
      <c r="B563" s="13"/>
      <c r="C563" s="13"/>
      <c r="D563" s="4"/>
      <c r="E563" s="10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>
      <c r="A564" s="13"/>
      <c r="B564" s="13"/>
      <c r="C564" s="13"/>
      <c r="D564" s="4"/>
      <c r="E564" s="10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>
      <c r="A565" s="13"/>
      <c r="B565" s="13"/>
      <c r="C565" s="13"/>
      <c r="D565" s="4"/>
      <c r="E565" s="10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>
      <c r="A566" s="13"/>
      <c r="B566" s="13"/>
      <c r="C566" s="13"/>
      <c r="D566" s="4"/>
      <c r="E566" s="10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>
      <c r="A567" s="13"/>
      <c r="B567" s="13"/>
      <c r="C567" s="13"/>
      <c r="D567" s="4"/>
      <c r="E567" s="10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>
      <c r="A568" s="13"/>
      <c r="B568" s="13"/>
      <c r="C568" s="13"/>
      <c r="D568" s="4"/>
      <c r="E568" s="10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>
      <c r="A569" s="13"/>
      <c r="B569" s="13"/>
      <c r="C569" s="13"/>
      <c r="D569" s="4"/>
      <c r="E569" s="10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>
      <c r="A570" s="13"/>
      <c r="B570" s="13"/>
      <c r="C570" s="13"/>
      <c r="D570" s="4"/>
      <c r="E570" s="10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>
      <c r="A571" s="13"/>
      <c r="B571" s="13"/>
      <c r="C571" s="13"/>
      <c r="D571" s="4"/>
      <c r="E571" s="10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>
      <c r="A572" s="13"/>
      <c r="B572" s="13"/>
      <c r="C572" s="13"/>
      <c r="D572" s="4"/>
      <c r="E572" s="10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>
      <c r="A573" s="13"/>
      <c r="B573" s="13"/>
      <c r="C573" s="13"/>
      <c r="D573" s="4"/>
      <c r="E573" s="10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>
      <c r="A574" s="13"/>
      <c r="B574" s="13"/>
      <c r="C574" s="13"/>
      <c r="D574" s="4"/>
      <c r="E574" s="10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>
      <c r="A575" s="13"/>
      <c r="B575" s="13"/>
      <c r="C575" s="13"/>
      <c r="D575" s="4"/>
      <c r="E575" s="10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>
      <c r="A576" s="13"/>
      <c r="B576" s="13"/>
      <c r="C576" s="13"/>
      <c r="D576" s="4"/>
      <c r="E576" s="10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>
      <c r="A577" s="13"/>
      <c r="B577" s="13"/>
      <c r="C577" s="13"/>
      <c r="D577" s="4"/>
      <c r="E577" s="10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>
      <c r="A578" s="13"/>
      <c r="B578" s="13"/>
      <c r="C578" s="13"/>
      <c r="D578" s="4"/>
      <c r="E578" s="10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>
      <c r="A579" s="13"/>
      <c r="B579" s="13"/>
      <c r="C579" s="13"/>
      <c r="D579" s="4"/>
      <c r="E579" s="10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>
      <c r="A580" s="13"/>
      <c r="B580" s="13"/>
      <c r="C580" s="13"/>
      <c r="D580" s="4"/>
      <c r="E580" s="10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>
      <c r="A581" s="13"/>
      <c r="B581" s="13"/>
      <c r="C581" s="13"/>
      <c r="D581" s="4"/>
      <c r="E581" s="10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>
      <c r="A582" s="13"/>
      <c r="B582" s="13"/>
      <c r="C582" s="13"/>
      <c r="D582" s="4"/>
      <c r="E582" s="10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>
      <c r="A583" s="13"/>
      <c r="B583" s="13"/>
      <c r="C583" s="13"/>
      <c r="D583" s="4"/>
      <c r="E583" s="10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>
      <c r="A584" s="13"/>
      <c r="B584" s="13"/>
      <c r="C584" s="13"/>
      <c r="D584" s="4"/>
      <c r="E584" s="10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>
      <c r="A585" s="13"/>
      <c r="B585" s="13"/>
      <c r="C585" s="13"/>
      <c r="D585" s="4"/>
      <c r="E585" s="10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>
      <c r="A586" s="13"/>
      <c r="B586" s="13"/>
      <c r="C586" s="13"/>
      <c r="D586" s="4"/>
      <c r="E586" s="10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>
      <c r="A587" s="13"/>
      <c r="B587" s="13"/>
      <c r="C587" s="13"/>
      <c r="D587" s="4"/>
      <c r="E587" s="10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>
      <c r="A588" s="13"/>
      <c r="B588" s="13"/>
      <c r="C588" s="13"/>
      <c r="D588" s="4"/>
      <c r="E588" s="10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>
      <c r="A589" s="13"/>
      <c r="B589" s="13"/>
      <c r="C589" s="13"/>
      <c r="D589" s="4"/>
      <c r="E589" s="10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>
      <c r="A590" s="13"/>
      <c r="B590" s="13"/>
      <c r="C590" s="13"/>
      <c r="D590" s="4"/>
      <c r="E590" s="10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>
      <c r="A591" s="13"/>
      <c r="B591" s="13"/>
      <c r="C591" s="13"/>
      <c r="D591" s="4"/>
      <c r="E591" s="10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>
      <c r="A592" s="13"/>
      <c r="B592" s="13"/>
      <c r="C592" s="13"/>
      <c r="D592" s="4"/>
      <c r="E592" s="10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>
      <c r="A593" s="13"/>
      <c r="B593" s="13"/>
      <c r="C593" s="13"/>
      <c r="D593" s="4"/>
      <c r="E593" s="10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>
      <c r="A594" s="13"/>
      <c r="B594" s="13"/>
      <c r="C594" s="13"/>
      <c r="D594" s="4"/>
      <c r="E594" s="10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>
      <c r="A595" s="13"/>
      <c r="B595" s="13"/>
      <c r="C595" s="13"/>
      <c r="D595" s="4"/>
      <c r="E595" s="10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>
      <c r="A596" s="13"/>
      <c r="B596" s="13"/>
      <c r="C596" s="13"/>
      <c r="D596" s="4"/>
      <c r="E596" s="10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>
      <c r="A597" s="13"/>
      <c r="B597" s="13"/>
      <c r="C597" s="13"/>
      <c r="D597" s="4"/>
      <c r="E597" s="10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>
      <c r="A598" s="13"/>
      <c r="B598" s="13"/>
      <c r="C598" s="13"/>
      <c r="D598" s="4"/>
      <c r="E598" s="10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>
      <c r="A599" s="13"/>
      <c r="B599" s="13"/>
      <c r="C599" s="13"/>
      <c r="D599" s="4"/>
      <c r="E599" s="10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>
      <c r="A600" s="13"/>
      <c r="B600" s="13"/>
      <c r="C600" s="13"/>
      <c r="D600" s="4"/>
      <c r="E600" s="10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>
      <c r="A601" s="13"/>
      <c r="B601" s="13"/>
      <c r="C601" s="13"/>
      <c r="D601" s="4"/>
      <c r="E601" s="10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>
      <c r="A602" s="13"/>
      <c r="B602" s="13"/>
      <c r="C602" s="13"/>
      <c r="D602" s="4"/>
      <c r="E602" s="10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>
      <c r="A603" s="13"/>
      <c r="B603" s="13"/>
      <c r="C603" s="13"/>
      <c r="D603" s="4"/>
      <c r="E603" s="10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>
      <c r="A604" s="13"/>
      <c r="B604" s="13"/>
      <c r="C604" s="13"/>
      <c r="D604" s="4"/>
      <c r="E604" s="10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>
      <c r="A605" s="13"/>
      <c r="B605" s="13"/>
      <c r="C605" s="13"/>
      <c r="D605" s="4"/>
      <c r="E605" s="10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>
      <c r="A606" s="13"/>
      <c r="B606" s="13"/>
      <c r="C606" s="13"/>
      <c r="D606" s="4"/>
      <c r="E606" s="10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>
      <c r="A607" s="13"/>
      <c r="B607" s="13"/>
      <c r="C607" s="13"/>
      <c r="D607" s="4"/>
      <c r="E607" s="10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>
      <c r="A608" s="13"/>
      <c r="B608" s="13"/>
      <c r="C608" s="13"/>
      <c r="D608" s="4"/>
      <c r="E608" s="10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>
      <c r="A609" s="13"/>
      <c r="B609" s="13"/>
      <c r="C609" s="13"/>
      <c r="D609" s="4"/>
      <c r="E609" s="10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>
      <c r="A610" s="13"/>
      <c r="B610" s="13"/>
      <c r="C610" s="13"/>
      <c r="D610" s="4"/>
      <c r="E610" s="10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>
      <c r="A611" s="13"/>
      <c r="B611" s="13"/>
      <c r="C611" s="13"/>
      <c r="D611" s="4"/>
      <c r="E611" s="10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>
      <c r="A612" s="13"/>
      <c r="B612" s="13"/>
      <c r="C612" s="13"/>
      <c r="D612" s="4"/>
      <c r="E612" s="10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>
      <c r="A613" s="13"/>
      <c r="B613" s="13"/>
      <c r="C613" s="13"/>
      <c r="D613" s="4"/>
      <c r="E613" s="10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>
      <c r="A614" s="13"/>
      <c r="B614" s="13"/>
      <c r="C614" s="13"/>
      <c r="D614" s="4"/>
      <c r="E614" s="10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>
      <c r="A615" s="13"/>
      <c r="B615" s="13"/>
      <c r="C615" s="13"/>
      <c r="D615" s="4"/>
      <c r="E615" s="10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>
      <c r="A616" s="13"/>
      <c r="B616" s="13"/>
      <c r="C616" s="13"/>
      <c r="D616" s="4"/>
      <c r="E616" s="10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>
      <c r="A617" s="13"/>
      <c r="B617" s="13"/>
      <c r="C617" s="13"/>
      <c r="D617" s="4"/>
      <c r="E617" s="10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>
      <c r="A618" s="13"/>
      <c r="B618" s="13"/>
      <c r="C618" s="13"/>
      <c r="D618" s="4"/>
      <c r="E618" s="10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>
      <c r="A619" s="13"/>
      <c r="B619" s="13"/>
      <c r="C619" s="13"/>
      <c r="D619" s="4"/>
      <c r="E619" s="10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>
      <c r="A620" s="13"/>
      <c r="B620" s="13"/>
      <c r="C620" s="13"/>
      <c r="D620" s="4"/>
      <c r="E620" s="10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>
      <c r="A621" s="13"/>
      <c r="B621" s="13"/>
      <c r="C621" s="13"/>
      <c r="D621" s="4"/>
      <c r="E621" s="10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>
      <c r="A622" s="13"/>
      <c r="B622" s="13"/>
      <c r="C622" s="13"/>
      <c r="D622" s="4"/>
      <c r="E622" s="10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>
      <c r="A623" s="13"/>
      <c r="B623" s="13"/>
      <c r="C623" s="13"/>
      <c r="D623" s="4"/>
      <c r="E623" s="10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>
      <c r="A624" s="13"/>
      <c r="B624" s="13"/>
      <c r="C624" s="13"/>
      <c r="D624" s="4"/>
      <c r="E624" s="10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>
      <c r="A625" s="13"/>
      <c r="B625" s="13"/>
      <c r="C625" s="13"/>
      <c r="D625" s="4"/>
      <c r="E625" s="10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>
      <c r="A626" s="13"/>
      <c r="B626" s="13"/>
      <c r="C626" s="13"/>
      <c r="D626" s="4"/>
      <c r="E626" s="10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>
      <c r="A627" s="13"/>
      <c r="B627" s="13"/>
      <c r="C627" s="13"/>
      <c r="D627" s="4"/>
      <c r="E627" s="10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>
      <c r="A628" s="13"/>
      <c r="B628" s="13"/>
      <c r="C628" s="13"/>
      <c r="D628" s="4"/>
      <c r="E628" s="10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>
      <c r="A629" s="13"/>
      <c r="B629" s="13"/>
      <c r="C629" s="13"/>
      <c r="D629" s="4"/>
      <c r="E629" s="10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>
      <c r="A630" s="13"/>
      <c r="B630" s="13"/>
      <c r="C630" s="13"/>
      <c r="D630" s="4"/>
      <c r="E630" s="10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>
      <c r="A631" s="13"/>
      <c r="B631" s="13"/>
      <c r="C631" s="13"/>
      <c r="D631" s="4"/>
      <c r="E631" s="10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>
      <c r="A632" s="13"/>
      <c r="B632" s="13"/>
      <c r="C632" s="13"/>
      <c r="D632" s="4"/>
      <c r="E632" s="10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>
      <c r="A633" s="13"/>
      <c r="B633" s="13"/>
      <c r="C633" s="13"/>
      <c r="D633" s="4"/>
      <c r="E633" s="10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>
      <c r="A634" s="13"/>
      <c r="B634" s="13"/>
      <c r="C634" s="13"/>
      <c r="D634" s="4"/>
      <c r="E634" s="10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>
      <c r="A635" s="13"/>
      <c r="B635" s="13"/>
      <c r="C635" s="13"/>
      <c r="D635" s="4"/>
      <c r="E635" s="10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>
      <c r="A636" s="13"/>
      <c r="B636" s="13"/>
      <c r="C636" s="13"/>
      <c r="D636" s="4"/>
      <c r="E636" s="10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>
      <c r="A637" s="13"/>
      <c r="B637" s="13"/>
      <c r="C637" s="13"/>
      <c r="D637" s="4"/>
      <c r="E637" s="10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>
      <c r="A638" s="13"/>
      <c r="B638" s="13"/>
      <c r="C638" s="13"/>
      <c r="D638" s="4"/>
      <c r="E638" s="10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>
      <c r="A639" s="13"/>
      <c r="B639" s="13"/>
      <c r="C639" s="13"/>
      <c r="D639" s="4"/>
      <c r="E639" s="10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>
      <c r="A640" s="13"/>
      <c r="B640" s="13"/>
      <c r="C640" s="13"/>
      <c r="D640" s="4"/>
      <c r="E640" s="10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>
      <c r="A641" s="13"/>
      <c r="B641" s="13"/>
      <c r="C641" s="13"/>
      <c r="D641" s="4"/>
      <c r="E641" s="10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>
      <c r="A642" s="13"/>
      <c r="B642" s="13"/>
      <c r="C642" s="13"/>
      <c r="D642" s="4"/>
      <c r="E642" s="10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>
      <c r="A643" s="13"/>
      <c r="B643" s="13"/>
      <c r="C643" s="13"/>
      <c r="D643" s="4"/>
      <c r="E643" s="10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>
      <c r="A644" s="13"/>
      <c r="B644" s="13"/>
      <c r="C644" s="13"/>
      <c r="D644" s="4"/>
      <c r="E644" s="10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>
      <c r="A645" s="13"/>
      <c r="B645" s="13"/>
      <c r="C645" s="13"/>
      <c r="D645" s="4"/>
      <c r="E645" s="10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>
      <c r="A646" s="13"/>
      <c r="B646" s="13"/>
      <c r="C646" s="13"/>
      <c r="D646" s="4"/>
      <c r="E646" s="10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>
      <c r="A647" s="13"/>
      <c r="B647" s="13"/>
      <c r="C647" s="13"/>
      <c r="D647" s="4"/>
      <c r="E647" s="10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>
      <c r="A648" s="13"/>
      <c r="B648" s="13"/>
      <c r="C648" s="13"/>
      <c r="D648" s="4"/>
      <c r="E648" s="10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>
      <c r="A649" s="13"/>
      <c r="B649" s="13"/>
      <c r="C649" s="13"/>
      <c r="D649" s="4"/>
      <c r="E649" s="10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>
      <c r="A650" s="13"/>
      <c r="B650" s="13"/>
      <c r="C650" s="13"/>
      <c r="D650" s="4"/>
      <c r="E650" s="10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>
      <c r="A651" s="13"/>
      <c r="B651" s="13"/>
      <c r="C651" s="13"/>
      <c r="D651" s="4"/>
      <c r="E651" s="10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>
      <c r="A652" s="13"/>
      <c r="B652" s="13"/>
      <c r="C652" s="13"/>
      <c r="D652" s="4"/>
      <c r="E652" s="10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>
      <c r="A653" s="13"/>
      <c r="B653" s="13"/>
      <c r="C653" s="13"/>
      <c r="D653" s="4"/>
      <c r="E653" s="10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>
      <c r="A654" s="13"/>
      <c r="B654" s="13"/>
      <c r="C654" s="13"/>
      <c r="D654" s="4"/>
      <c r="E654" s="10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>
      <c r="A655" s="13"/>
      <c r="B655" s="13"/>
      <c r="C655" s="13"/>
      <c r="D655" s="4"/>
      <c r="E655" s="10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>
      <c r="A656" s="13"/>
      <c r="B656" s="13"/>
      <c r="C656" s="13"/>
      <c r="D656" s="4"/>
      <c r="E656" s="10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>
      <c r="A657" s="13"/>
      <c r="B657" s="13"/>
      <c r="C657" s="13"/>
      <c r="D657" s="4"/>
      <c r="E657" s="10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>
      <c r="A658" s="13"/>
      <c r="B658" s="13"/>
      <c r="C658" s="13"/>
      <c r="D658" s="4"/>
      <c r="E658" s="10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>
      <c r="A659" s="13"/>
      <c r="B659" s="13"/>
      <c r="C659" s="13"/>
      <c r="D659" s="4"/>
      <c r="E659" s="10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>
      <c r="A660" s="13"/>
      <c r="B660" s="13"/>
      <c r="C660" s="13"/>
      <c r="D660" s="4"/>
      <c r="E660" s="10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>
      <c r="A661" s="13"/>
      <c r="B661" s="13"/>
      <c r="C661" s="13"/>
      <c r="D661" s="4"/>
      <c r="E661" s="10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>
      <c r="A662" s="13"/>
      <c r="B662" s="13"/>
      <c r="C662" s="13"/>
      <c r="D662" s="4"/>
      <c r="E662" s="10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>
      <c r="A663" s="13"/>
      <c r="B663" s="13"/>
      <c r="C663" s="13"/>
      <c r="D663" s="4"/>
      <c r="E663" s="10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>
      <c r="A664" s="13"/>
      <c r="B664" s="13"/>
      <c r="C664" s="13"/>
      <c r="D664" s="4"/>
      <c r="E664" s="10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>
      <c r="A665" s="13"/>
      <c r="B665" s="13"/>
      <c r="C665" s="13"/>
      <c r="D665" s="4"/>
      <c r="E665" s="10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>
      <c r="A666" s="13"/>
      <c r="B666" s="13"/>
      <c r="C666" s="13"/>
      <c r="D666" s="4"/>
      <c r="E666" s="10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>
      <c r="A667" s="13"/>
      <c r="B667" s="13"/>
      <c r="C667" s="13"/>
      <c r="D667" s="4"/>
      <c r="E667" s="10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>
      <c r="A668" s="13"/>
      <c r="B668" s="13"/>
      <c r="C668" s="13"/>
      <c r="D668" s="4"/>
      <c r="E668" s="10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>
      <c r="A669" s="13"/>
      <c r="B669" s="13"/>
      <c r="C669" s="13"/>
      <c r="D669" s="4"/>
      <c r="E669" s="10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>
      <c r="A670" s="13"/>
      <c r="B670" s="13"/>
      <c r="C670" s="13"/>
      <c r="D670" s="4"/>
      <c r="E670" s="10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>
      <c r="A671" s="13"/>
      <c r="B671" s="13"/>
      <c r="C671" s="13"/>
      <c r="D671" s="4"/>
      <c r="E671" s="10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>
      <c r="A672" s="13"/>
      <c r="B672" s="13"/>
      <c r="C672" s="13"/>
      <c r="D672" s="4"/>
      <c r="E672" s="10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>
      <c r="A673" s="13"/>
      <c r="B673" s="13"/>
      <c r="C673" s="13"/>
      <c r="D673" s="4"/>
      <c r="E673" s="10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>
      <c r="A674" s="13"/>
      <c r="B674" s="13"/>
      <c r="C674" s="13"/>
      <c r="D674" s="4"/>
      <c r="E674" s="10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>
      <c r="A675" s="13"/>
      <c r="B675" s="13"/>
      <c r="C675" s="13"/>
      <c r="D675" s="4"/>
      <c r="E675" s="10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>
      <c r="A676" s="13"/>
      <c r="B676" s="13"/>
      <c r="C676" s="13"/>
      <c r="D676" s="4"/>
      <c r="E676" s="10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>
      <c r="A677" s="13"/>
      <c r="B677" s="13"/>
      <c r="C677" s="13"/>
      <c r="D677" s="4"/>
      <c r="E677" s="10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>
      <c r="A678" s="13"/>
      <c r="B678" s="13"/>
      <c r="C678" s="13"/>
      <c r="D678" s="4"/>
      <c r="E678" s="10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>
      <c r="A679" s="13"/>
      <c r="B679" s="13"/>
      <c r="C679" s="13"/>
      <c r="D679" s="4"/>
      <c r="E679" s="10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>
      <c r="A680" s="13"/>
      <c r="B680" s="13"/>
      <c r="C680" s="13"/>
      <c r="D680" s="4"/>
      <c r="E680" s="10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>
      <c r="A681" s="13"/>
      <c r="B681" s="13"/>
      <c r="C681" s="13"/>
      <c r="D681" s="4"/>
      <c r="E681" s="10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>
      <c r="A682" s="13"/>
      <c r="B682" s="13"/>
      <c r="C682" s="13"/>
      <c r="D682" s="4"/>
      <c r="E682" s="10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>
      <c r="A683" s="13"/>
      <c r="B683" s="13"/>
      <c r="C683" s="13"/>
      <c r="D683" s="4"/>
      <c r="E683" s="10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>
      <c r="A684" s="13"/>
      <c r="B684" s="13"/>
      <c r="C684" s="13"/>
      <c r="D684" s="4"/>
      <c r="E684" s="10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>
      <c r="A685" s="13"/>
      <c r="B685" s="13"/>
      <c r="C685" s="13"/>
      <c r="D685" s="4"/>
      <c r="E685" s="10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>
      <c r="A686" s="13"/>
      <c r="B686" s="13"/>
      <c r="C686" s="13"/>
      <c r="D686" s="4"/>
      <c r="E686" s="10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>
      <c r="A687" s="13"/>
      <c r="B687" s="13"/>
      <c r="C687" s="13"/>
      <c r="D687" s="4"/>
      <c r="E687" s="10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>
      <c r="A688" s="13"/>
      <c r="B688" s="13"/>
      <c r="C688" s="13"/>
      <c r="D688" s="4"/>
      <c r="E688" s="10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>
      <c r="A689" s="13"/>
      <c r="B689" s="13"/>
      <c r="C689" s="13"/>
      <c r="D689" s="4"/>
      <c r="E689" s="10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>
      <c r="A690" s="13"/>
      <c r="B690" s="13"/>
      <c r="C690" s="13"/>
      <c r="D690" s="4"/>
      <c r="E690" s="10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>
      <c r="A691" s="13"/>
      <c r="B691" s="13"/>
      <c r="C691" s="13"/>
      <c r="D691" s="4"/>
      <c r="E691" s="10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>
      <c r="A692" s="13"/>
      <c r="B692" s="13"/>
      <c r="C692" s="13"/>
      <c r="D692" s="4"/>
      <c r="E692" s="10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>
      <c r="A693" s="13"/>
      <c r="B693" s="13"/>
      <c r="C693" s="13"/>
      <c r="D693" s="4"/>
      <c r="E693" s="10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>
      <c r="A694" s="13"/>
      <c r="B694" s="13"/>
      <c r="C694" s="13"/>
      <c r="D694" s="4"/>
      <c r="E694" s="10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>
      <c r="A695" s="13"/>
      <c r="B695" s="13"/>
      <c r="C695" s="13"/>
      <c r="D695" s="4"/>
      <c r="E695" s="10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>
      <c r="A696" s="13"/>
      <c r="B696" s="13"/>
      <c r="C696" s="13"/>
      <c r="D696" s="4"/>
      <c r="E696" s="10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>
      <c r="A697" s="13"/>
      <c r="B697" s="13"/>
      <c r="C697" s="13"/>
      <c r="D697" s="4"/>
      <c r="E697" s="10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>
      <c r="A698" s="13"/>
      <c r="B698" s="13"/>
      <c r="C698" s="13"/>
      <c r="D698" s="4"/>
      <c r="E698" s="10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>
      <c r="A699" s="13"/>
      <c r="B699" s="13"/>
      <c r="C699" s="13"/>
      <c r="D699" s="4"/>
      <c r="E699" s="10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>
      <c r="A700" s="13"/>
      <c r="B700" s="13"/>
      <c r="C700" s="13"/>
      <c r="D700" s="4"/>
      <c r="E700" s="10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>
      <c r="A701" s="13"/>
      <c r="B701" s="13"/>
      <c r="C701" s="13"/>
      <c r="D701" s="4"/>
      <c r="E701" s="10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>
      <c r="A702" s="13"/>
      <c r="B702" s="13"/>
      <c r="C702" s="13"/>
      <c r="D702" s="4"/>
      <c r="E702" s="10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>
      <c r="A703" s="13"/>
      <c r="B703" s="13"/>
      <c r="C703" s="13"/>
      <c r="D703" s="4"/>
      <c r="E703" s="10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>
      <c r="A704" s="13"/>
      <c r="B704" s="13"/>
      <c r="C704" s="13"/>
      <c r="D704" s="4"/>
      <c r="E704" s="10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>
      <c r="A705" s="13"/>
      <c r="B705" s="13"/>
      <c r="C705" s="13"/>
      <c r="D705" s="4"/>
      <c r="E705" s="10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>
      <c r="A706" s="13"/>
      <c r="B706" s="13"/>
      <c r="C706" s="13"/>
      <c r="D706" s="4"/>
      <c r="E706" s="10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>
      <c r="A707" s="13"/>
      <c r="B707" s="13"/>
      <c r="C707" s="13"/>
      <c r="D707" s="4"/>
      <c r="E707" s="10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>
      <c r="A708" s="13"/>
      <c r="B708" s="13"/>
      <c r="C708" s="13"/>
      <c r="D708" s="4"/>
      <c r="E708" s="10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>
      <c r="A709" s="13"/>
      <c r="B709" s="13"/>
      <c r="C709" s="13"/>
      <c r="D709" s="4"/>
      <c r="E709" s="10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>
      <c r="A710" s="13"/>
      <c r="B710" s="13"/>
      <c r="C710" s="13"/>
      <c r="D710" s="4"/>
      <c r="E710" s="10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>
      <c r="A711" s="13"/>
      <c r="B711" s="13"/>
      <c r="C711" s="13"/>
      <c r="D711" s="4"/>
      <c r="E711" s="10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>
      <c r="A712" s="13"/>
      <c r="B712" s="13"/>
      <c r="C712" s="13"/>
      <c r="D712" s="4"/>
      <c r="E712" s="10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>
      <c r="A713" s="13"/>
      <c r="B713" s="13"/>
      <c r="C713" s="13"/>
      <c r="D713" s="4"/>
      <c r="E713" s="10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>
      <c r="A714" s="13"/>
      <c r="B714" s="13"/>
      <c r="C714" s="13"/>
      <c r="D714" s="4"/>
      <c r="E714" s="10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>
      <c r="A715" s="13"/>
      <c r="B715" s="13"/>
      <c r="C715" s="13"/>
      <c r="D715" s="4"/>
      <c r="E715" s="10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>
      <c r="A716" s="13"/>
      <c r="B716" s="13"/>
      <c r="C716" s="13"/>
      <c r="D716" s="4"/>
      <c r="E716" s="10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>
      <c r="A717" s="13"/>
      <c r="B717" s="13"/>
      <c r="C717" s="13"/>
      <c r="D717" s="4"/>
      <c r="E717" s="10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>
      <c r="A718" s="13"/>
      <c r="B718" s="13"/>
      <c r="C718" s="13"/>
      <c r="D718" s="4"/>
      <c r="E718" s="10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>
      <c r="A719" s="13"/>
      <c r="B719" s="13"/>
      <c r="C719" s="13"/>
      <c r="D719" s="4"/>
      <c r="E719" s="10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>
      <c r="A720" s="13"/>
      <c r="B720" s="13"/>
      <c r="C720" s="13"/>
      <c r="D720" s="4"/>
      <c r="E720" s="10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>
      <c r="A721" s="13"/>
      <c r="B721" s="13"/>
      <c r="C721" s="13"/>
      <c r="D721" s="4"/>
      <c r="E721" s="10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>
      <c r="A722" s="13"/>
      <c r="B722" s="13"/>
      <c r="C722" s="13"/>
      <c r="D722" s="4"/>
      <c r="E722" s="10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>
      <c r="A723" s="13"/>
      <c r="B723" s="13"/>
      <c r="C723" s="13"/>
      <c r="D723" s="4"/>
      <c r="E723" s="10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>
      <c r="A724" s="13"/>
      <c r="B724" s="13"/>
      <c r="C724" s="13"/>
      <c r="D724" s="4"/>
      <c r="E724" s="10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>
      <c r="A725" s="13"/>
      <c r="B725" s="13"/>
      <c r="C725" s="13"/>
      <c r="D725" s="4"/>
      <c r="E725" s="10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>
      <c r="A726" s="13"/>
      <c r="B726" s="13"/>
      <c r="C726" s="13"/>
      <c r="D726" s="4"/>
      <c r="E726" s="10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>
      <c r="A727" s="13"/>
      <c r="B727" s="13"/>
      <c r="C727" s="13"/>
      <c r="D727" s="4"/>
      <c r="E727" s="10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>
      <c r="A728" s="13"/>
      <c r="B728" s="13"/>
      <c r="C728" s="13"/>
      <c r="D728" s="4"/>
      <c r="E728" s="10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>
      <c r="A729" s="13"/>
      <c r="B729" s="13"/>
      <c r="C729" s="13"/>
      <c r="D729" s="4"/>
      <c r="E729" s="10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>
      <c r="A730" s="13"/>
      <c r="B730" s="13"/>
      <c r="C730" s="13"/>
      <c r="D730" s="4"/>
      <c r="E730" s="10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>
      <c r="A731" s="13"/>
      <c r="B731" s="13"/>
      <c r="C731" s="13"/>
      <c r="D731" s="4"/>
      <c r="E731" s="10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>
      <c r="A732" s="13"/>
      <c r="B732" s="13"/>
      <c r="C732" s="13"/>
      <c r="D732" s="4"/>
      <c r="E732" s="10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>
      <c r="A733" s="13"/>
      <c r="B733" s="13"/>
      <c r="C733" s="13"/>
      <c r="D733" s="4"/>
      <c r="E733" s="10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>
      <c r="A734" s="13"/>
      <c r="B734" s="13"/>
      <c r="C734" s="13"/>
      <c r="D734" s="4"/>
      <c r="E734" s="10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>
      <c r="A735" s="13"/>
      <c r="B735" s="13"/>
      <c r="C735" s="13"/>
      <c r="D735" s="4"/>
      <c r="E735" s="10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>
      <c r="A736" s="13"/>
      <c r="B736" s="13"/>
      <c r="C736" s="13"/>
      <c r="D736" s="4"/>
      <c r="E736" s="10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>
      <c r="A737" s="13"/>
      <c r="B737" s="13"/>
      <c r="C737" s="13"/>
      <c r="D737" s="4"/>
      <c r="E737" s="10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>
      <c r="A738" s="13"/>
      <c r="B738" s="13"/>
      <c r="C738" s="13"/>
      <c r="D738" s="4"/>
      <c r="E738" s="10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>
      <c r="A739" s="13"/>
      <c r="B739" s="13"/>
      <c r="C739" s="13"/>
      <c r="D739" s="4"/>
      <c r="E739" s="10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>
      <c r="A740" s="13"/>
      <c r="B740" s="13"/>
      <c r="C740" s="13"/>
      <c r="D740" s="4"/>
      <c r="E740" s="10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>
      <c r="A741" s="13"/>
      <c r="B741" s="13"/>
      <c r="C741" s="13"/>
      <c r="D741" s="4"/>
      <c r="E741" s="10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>
      <c r="A742" s="13"/>
      <c r="B742" s="13"/>
      <c r="C742" s="13"/>
      <c r="D742" s="4"/>
      <c r="E742" s="10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>
      <c r="A743" s="13"/>
      <c r="B743" s="13"/>
      <c r="C743" s="13"/>
      <c r="D743" s="4"/>
      <c r="E743" s="10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>
      <c r="A744" s="13"/>
      <c r="B744" s="13"/>
      <c r="C744" s="13"/>
      <c r="D744" s="4"/>
      <c r="E744" s="10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>
      <c r="A745" s="13"/>
      <c r="B745" s="13"/>
      <c r="C745" s="13"/>
      <c r="D745" s="4"/>
      <c r="E745" s="10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>
      <c r="A746" s="13"/>
      <c r="B746" s="13"/>
      <c r="C746" s="13"/>
      <c r="D746" s="4"/>
      <c r="E746" s="10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>
      <c r="A747" s="13"/>
      <c r="B747" s="13"/>
      <c r="C747" s="13"/>
      <c r="D747" s="4"/>
      <c r="E747" s="10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>
      <c r="A748" s="13"/>
      <c r="B748" s="13"/>
      <c r="C748" s="13"/>
      <c r="D748" s="4"/>
      <c r="E748" s="10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>
      <c r="A749" s="13"/>
      <c r="B749" s="13"/>
      <c r="C749" s="13"/>
      <c r="D749" s="4"/>
      <c r="E749" s="10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>
      <c r="A750" s="13"/>
      <c r="B750" s="13"/>
      <c r="C750" s="13"/>
      <c r="D750" s="4"/>
      <c r="E750" s="10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>
      <c r="A751" s="13"/>
      <c r="B751" s="13"/>
      <c r="C751" s="13"/>
      <c r="D751" s="4"/>
      <c r="E751" s="10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>
      <c r="A752" s="13"/>
      <c r="B752" s="13"/>
      <c r="C752" s="13"/>
      <c r="D752" s="4"/>
      <c r="E752" s="10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>
      <c r="A753" s="13"/>
      <c r="B753" s="13"/>
      <c r="C753" s="13"/>
      <c r="D753" s="4"/>
      <c r="E753" s="10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>
      <c r="A754" s="13"/>
      <c r="B754" s="13"/>
      <c r="C754" s="13"/>
      <c r="D754" s="4"/>
      <c r="E754" s="10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>
      <c r="A755" s="13"/>
      <c r="B755" s="13"/>
      <c r="C755" s="13"/>
      <c r="D755" s="4"/>
      <c r="E755" s="10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>
      <c r="A756" s="13"/>
      <c r="B756" s="13"/>
      <c r="C756" s="13"/>
      <c r="D756" s="4"/>
      <c r="E756" s="10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>
      <c r="A757" s="13"/>
      <c r="B757" s="13"/>
      <c r="C757" s="13"/>
      <c r="D757" s="4"/>
      <c r="E757" s="10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>
      <c r="A758" s="13"/>
      <c r="B758" s="13"/>
      <c r="C758" s="13"/>
      <c r="D758" s="4"/>
      <c r="E758" s="10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>
      <c r="A759" s="13"/>
      <c r="B759" s="13"/>
      <c r="C759" s="13"/>
      <c r="D759" s="4"/>
      <c r="E759" s="10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>
      <c r="A760" s="13"/>
      <c r="B760" s="13"/>
      <c r="C760" s="13"/>
      <c r="D760" s="4"/>
      <c r="E760" s="10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>
      <c r="A761" s="13"/>
      <c r="B761" s="13"/>
      <c r="C761" s="13"/>
      <c r="D761" s="4"/>
      <c r="E761" s="10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>
      <c r="A762" s="13"/>
      <c r="B762" s="13"/>
      <c r="C762" s="13"/>
      <c r="D762" s="4"/>
      <c r="E762" s="10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>
      <c r="A763" s="13"/>
      <c r="B763" s="13"/>
      <c r="C763" s="13"/>
      <c r="D763" s="4"/>
      <c r="E763" s="10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>
      <c r="A764" s="13"/>
      <c r="B764" s="13"/>
      <c r="C764" s="13"/>
      <c r="D764" s="4"/>
      <c r="E764" s="10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>
      <c r="A765" s="13"/>
      <c r="B765" s="13"/>
      <c r="C765" s="13"/>
      <c r="D765" s="4"/>
      <c r="E765" s="10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>
      <c r="A766" s="13"/>
      <c r="B766" s="13"/>
      <c r="C766" s="13"/>
      <c r="D766" s="4"/>
      <c r="E766" s="10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>
      <c r="A767" s="13"/>
      <c r="B767" s="13"/>
      <c r="C767" s="13"/>
      <c r="D767" s="4"/>
      <c r="E767" s="10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>
      <c r="A768" s="13"/>
      <c r="B768" s="13"/>
      <c r="C768" s="13"/>
      <c r="D768" s="4"/>
      <c r="E768" s="10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>
      <c r="A769" s="13"/>
      <c r="B769" s="13"/>
      <c r="C769" s="13"/>
      <c r="D769" s="4"/>
      <c r="E769" s="10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>
      <c r="A770" s="13"/>
      <c r="B770" s="13"/>
      <c r="C770" s="13"/>
      <c r="D770" s="4"/>
      <c r="E770" s="10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>
      <c r="A771" s="13"/>
      <c r="B771" s="13"/>
      <c r="C771" s="13"/>
      <c r="D771" s="4"/>
      <c r="E771" s="10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>
      <c r="A772" s="13"/>
      <c r="B772" s="13"/>
      <c r="C772" s="13"/>
      <c r="D772" s="4"/>
      <c r="E772" s="10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>
      <c r="A773" s="13"/>
      <c r="B773" s="13"/>
      <c r="C773" s="13"/>
      <c r="D773" s="4"/>
      <c r="E773" s="10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>
      <c r="A774" s="13"/>
      <c r="B774" s="13"/>
      <c r="C774" s="13"/>
      <c r="D774" s="4"/>
      <c r="E774" s="10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>
      <c r="A775" s="13"/>
      <c r="B775" s="13"/>
      <c r="C775" s="13"/>
      <c r="D775" s="4"/>
      <c r="E775" s="10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>
      <c r="A776" s="13"/>
      <c r="B776" s="13"/>
      <c r="C776" s="13"/>
      <c r="D776" s="4"/>
      <c r="E776" s="10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>
      <c r="A777" s="13"/>
      <c r="B777" s="13"/>
      <c r="C777" s="13"/>
      <c r="D777" s="4"/>
      <c r="E777" s="10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>
      <c r="A778" s="13"/>
      <c r="B778" s="13"/>
      <c r="C778" s="13"/>
      <c r="D778" s="4"/>
      <c r="E778" s="10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>
      <c r="A779" s="13"/>
      <c r="B779" s="13"/>
      <c r="C779" s="13"/>
      <c r="D779" s="4"/>
      <c r="E779" s="10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>
      <c r="A780" s="13"/>
      <c r="B780" s="13"/>
      <c r="C780" s="13"/>
      <c r="D780" s="4"/>
      <c r="E780" s="10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>
      <c r="A781" s="13"/>
      <c r="B781" s="13"/>
      <c r="C781" s="13"/>
      <c r="D781" s="4"/>
      <c r="E781" s="10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>
      <c r="A782" s="13"/>
      <c r="B782" s="13"/>
      <c r="C782" s="13"/>
      <c r="D782" s="4"/>
      <c r="E782" s="10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>
      <c r="A783" s="13"/>
      <c r="B783" s="13"/>
      <c r="C783" s="13"/>
      <c r="D783" s="4"/>
      <c r="E783" s="10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>
      <c r="A784" s="13"/>
      <c r="B784" s="13"/>
      <c r="C784" s="13"/>
      <c r="D784" s="4"/>
      <c r="E784" s="10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>
      <c r="A785" s="13"/>
      <c r="B785" s="13"/>
      <c r="C785" s="13"/>
      <c r="D785" s="4"/>
      <c r="E785" s="10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>
      <c r="A786" s="13"/>
      <c r="B786" s="13"/>
      <c r="C786" s="13"/>
      <c r="D786" s="4"/>
      <c r="E786" s="10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>
      <c r="A787" s="13"/>
      <c r="B787" s="13"/>
      <c r="C787" s="13"/>
      <c r="D787" s="4"/>
      <c r="E787" s="10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>
      <c r="A788" s="13"/>
      <c r="B788" s="13"/>
      <c r="C788" s="13"/>
      <c r="D788" s="4"/>
      <c r="E788" s="10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>
      <c r="A789" s="13"/>
      <c r="B789" s="13"/>
      <c r="C789" s="13"/>
      <c r="D789" s="4"/>
      <c r="E789" s="10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>
      <c r="A790" s="13"/>
      <c r="B790" s="13"/>
      <c r="C790" s="13"/>
      <c r="D790" s="4"/>
      <c r="E790" s="10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>
      <c r="A791" s="13"/>
      <c r="B791" s="13"/>
      <c r="C791" s="13"/>
      <c r="D791" s="4"/>
      <c r="E791" s="10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>
      <c r="A792" s="13"/>
      <c r="B792" s="13"/>
      <c r="C792" s="13"/>
      <c r="D792" s="4"/>
      <c r="E792" s="10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>
      <c r="A793" s="13"/>
      <c r="B793" s="13"/>
      <c r="C793" s="13"/>
      <c r="D793" s="4"/>
      <c r="E793" s="10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>
      <c r="A794" s="13"/>
      <c r="B794" s="13"/>
      <c r="C794" s="13"/>
      <c r="D794" s="4"/>
      <c r="E794" s="10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>
      <c r="A795" s="13"/>
      <c r="B795" s="13"/>
      <c r="C795" s="13"/>
      <c r="D795" s="4"/>
      <c r="E795" s="10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>
      <c r="A796" s="13"/>
      <c r="B796" s="13"/>
      <c r="C796" s="13"/>
      <c r="D796" s="4"/>
      <c r="E796" s="10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>
      <c r="A797" s="13"/>
      <c r="B797" s="13"/>
      <c r="C797" s="13"/>
      <c r="D797" s="4"/>
      <c r="E797" s="10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>
      <c r="A798" s="13"/>
      <c r="B798" s="13"/>
      <c r="C798" s="13"/>
      <c r="D798" s="4"/>
      <c r="E798" s="10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>
      <c r="A799" s="13"/>
      <c r="B799" s="13"/>
      <c r="C799" s="13"/>
      <c r="D799" s="4"/>
      <c r="E799" s="10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>
      <c r="A800" s="13"/>
      <c r="B800" s="13"/>
      <c r="C800" s="13"/>
      <c r="D800" s="4"/>
      <c r="E800" s="10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>
      <c r="A801" s="13"/>
      <c r="B801" s="13"/>
      <c r="C801" s="13"/>
      <c r="D801" s="4"/>
      <c r="E801" s="10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>
      <c r="A802" s="13"/>
      <c r="B802" s="13"/>
      <c r="C802" s="13"/>
      <c r="D802" s="4"/>
      <c r="E802" s="10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>
      <c r="A803" s="13"/>
      <c r="B803" s="13"/>
      <c r="C803" s="13"/>
      <c r="D803" s="4"/>
      <c r="E803" s="10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>
      <c r="A804" s="13"/>
      <c r="B804" s="13"/>
      <c r="C804" s="13"/>
      <c r="D804" s="4"/>
      <c r="E804" s="10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>
      <c r="A805" s="13"/>
      <c r="B805" s="13"/>
      <c r="C805" s="13"/>
      <c r="D805" s="4"/>
      <c r="E805" s="10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>
      <c r="A806" s="13"/>
      <c r="B806" s="13"/>
      <c r="C806" s="13"/>
      <c r="D806" s="4"/>
      <c r="E806" s="10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>
      <c r="A807" s="13"/>
      <c r="B807" s="13"/>
      <c r="C807" s="13"/>
      <c r="D807" s="4"/>
      <c r="E807" s="10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>
      <c r="A808" s="13"/>
      <c r="B808" s="13"/>
      <c r="C808" s="13"/>
      <c r="D808" s="4"/>
      <c r="E808" s="10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>
      <c r="A809" s="13"/>
      <c r="B809" s="13"/>
      <c r="C809" s="13"/>
      <c r="D809" s="4"/>
      <c r="E809" s="10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>
      <c r="A810" s="13"/>
      <c r="B810" s="13"/>
      <c r="C810" s="13"/>
      <c r="D810" s="4"/>
      <c r="E810" s="10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>
      <c r="A811" s="13"/>
      <c r="B811" s="13"/>
      <c r="C811" s="13"/>
      <c r="D811" s="4"/>
      <c r="E811" s="10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>
      <c r="A812" s="13"/>
      <c r="B812" s="13"/>
      <c r="C812" s="13"/>
      <c r="D812" s="4"/>
      <c r="E812" s="10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>
      <c r="A813" s="13"/>
      <c r="B813" s="13"/>
      <c r="C813" s="13"/>
      <c r="D813" s="4"/>
      <c r="E813" s="10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>
      <c r="A814" s="13"/>
      <c r="B814" s="13"/>
      <c r="C814" s="13"/>
      <c r="D814" s="4"/>
      <c r="E814" s="10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>
      <c r="A815" s="13"/>
      <c r="B815" s="13"/>
      <c r="C815" s="13"/>
      <c r="D815" s="4"/>
      <c r="E815" s="10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>
      <c r="A816" s="13"/>
      <c r="B816" s="13"/>
      <c r="C816" s="13"/>
      <c r="D816" s="4"/>
      <c r="E816" s="10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>
      <c r="A817" s="13"/>
      <c r="B817" s="13"/>
      <c r="C817" s="13"/>
      <c r="D817" s="4"/>
      <c r="E817" s="10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>
      <c r="A818" s="13"/>
      <c r="B818" s="13"/>
      <c r="C818" s="13"/>
      <c r="D818" s="4"/>
      <c r="E818" s="10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>
      <c r="A819" s="13"/>
      <c r="B819" s="13"/>
      <c r="C819" s="13"/>
      <c r="D819" s="4"/>
      <c r="E819" s="10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>
      <c r="A820" s="13"/>
      <c r="B820" s="13"/>
      <c r="C820" s="13"/>
      <c r="D820" s="4"/>
      <c r="E820" s="10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>
      <c r="A821" s="13"/>
      <c r="B821" s="13"/>
      <c r="C821" s="13"/>
      <c r="D821" s="4"/>
      <c r="E821" s="10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>
      <c r="A822" s="13"/>
      <c r="B822" s="13"/>
      <c r="C822" s="13"/>
      <c r="D822" s="4"/>
      <c r="E822" s="10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>
      <c r="A823" s="13"/>
      <c r="B823" s="13"/>
      <c r="C823" s="13"/>
      <c r="D823" s="4"/>
      <c r="E823" s="10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>
      <c r="A824" s="13"/>
      <c r="B824" s="13"/>
      <c r="C824" s="13"/>
      <c r="D824" s="4"/>
      <c r="E824" s="10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>
      <c r="A825" s="13"/>
      <c r="B825" s="13"/>
      <c r="C825" s="13"/>
      <c r="D825" s="4"/>
      <c r="E825" s="10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>
      <c r="A826" s="13"/>
      <c r="B826" s="13"/>
      <c r="C826" s="13"/>
      <c r="D826" s="4"/>
      <c r="E826" s="10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>
      <c r="A827" s="13"/>
      <c r="B827" s="13"/>
      <c r="C827" s="13"/>
      <c r="D827" s="4"/>
      <c r="E827" s="10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>
      <c r="A828" s="13"/>
      <c r="B828" s="13"/>
      <c r="C828" s="13"/>
      <c r="D828" s="4"/>
      <c r="E828" s="10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>
      <c r="A829" s="13"/>
      <c r="B829" s="13"/>
      <c r="C829" s="13"/>
      <c r="D829" s="4"/>
      <c r="E829" s="10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>
      <c r="A830" s="13"/>
      <c r="B830" s="13"/>
      <c r="C830" s="13"/>
      <c r="D830" s="4"/>
      <c r="E830" s="10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>
      <c r="A831" s="13"/>
      <c r="B831" s="13"/>
      <c r="C831" s="13"/>
      <c r="D831" s="4"/>
      <c r="E831" s="10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>
      <c r="A832" s="13"/>
      <c r="B832" s="13"/>
      <c r="C832" s="13"/>
      <c r="D832" s="4"/>
      <c r="E832" s="10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>
      <c r="A833" s="13"/>
      <c r="B833" s="13"/>
      <c r="C833" s="13"/>
      <c r="D833" s="4"/>
      <c r="E833" s="10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>
      <c r="A834" s="13"/>
      <c r="B834" s="13"/>
      <c r="C834" s="13"/>
      <c r="D834" s="4"/>
      <c r="E834" s="10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>
      <c r="A835" s="13"/>
      <c r="B835" s="13"/>
      <c r="C835" s="13"/>
      <c r="D835" s="4"/>
      <c r="E835" s="10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>
      <c r="A836" s="13"/>
      <c r="B836" s="13"/>
      <c r="C836" s="13"/>
      <c r="D836" s="4"/>
      <c r="E836" s="10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>
      <c r="A837" s="13"/>
      <c r="B837" s="13"/>
      <c r="C837" s="13"/>
      <c r="D837" s="4"/>
      <c r="E837" s="10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>
      <c r="A838" s="13"/>
      <c r="B838" s="13"/>
      <c r="C838" s="13"/>
      <c r="D838" s="4"/>
      <c r="E838" s="10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>
      <c r="A839" s="13"/>
      <c r="B839" s="13"/>
      <c r="C839" s="13"/>
      <c r="D839" s="4"/>
      <c r="E839" s="10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>
      <c r="A840" s="13"/>
      <c r="B840" s="13"/>
      <c r="C840" s="13"/>
      <c r="D840" s="4"/>
      <c r="E840" s="10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>
      <c r="A841" s="13"/>
      <c r="B841" s="13"/>
      <c r="C841" s="13"/>
      <c r="D841" s="4"/>
      <c r="E841" s="10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>
      <c r="A842" s="13"/>
      <c r="B842" s="13"/>
      <c r="C842" s="13"/>
      <c r="D842" s="4"/>
      <c r="E842" s="10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>
      <c r="A843" s="13"/>
      <c r="B843" s="13"/>
      <c r="C843" s="13"/>
      <c r="D843" s="4"/>
      <c r="E843" s="10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>
      <c r="A844" s="13"/>
      <c r="B844" s="13"/>
      <c r="C844" s="13"/>
      <c r="D844" s="4"/>
      <c r="E844" s="10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>
      <c r="A845" s="13"/>
      <c r="B845" s="13"/>
      <c r="C845" s="13"/>
      <c r="D845" s="4"/>
      <c r="E845" s="10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>
      <c r="A846" s="13"/>
      <c r="B846" s="13"/>
      <c r="C846" s="13"/>
      <c r="D846" s="4"/>
      <c r="E846" s="10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>
      <c r="A847" s="13"/>
      <c r="B847" s="13"/>
      <c r="C847" s="13"/>
      <c r="D847" s="4"/>
      <c r="E847" s="10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>
      <c r="A848" s="13"/>
      <c r="B848" s="13"/>
      <c r="C848" s="13"/>
      <c r="D848" s="4"/>
      <c r="E848" s="10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>
      <c r="A849" s="13"/>
      <c r="B849" s="13"/>
      <c r="C849" s="13"/>
      <c r="D849" s="4"/>
      <c r="E849" s="10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>
      <c r="A850" s="13"/>
      <c r="B850" s="13"/>
      <c r="C850" s="13"/>
      <c r="D850" s="4"/>
      <c r="E850" s="10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>
      <c r="A851" s="13"/>
      <c r="B851" s="13"/>
      <c r="C851" s="13"/>
      <c r="D851" s="4"/>
      <c r="E851" s="10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>
      <c r="A852" s="13"/>
      <c r="B852" s="13"/>
      <c r="C852" s="13"/>
      <c r="D852" s="4"/>
      <c r="E852" s="10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>
      <c r="A853" s="13"/>
      <c r="B853" s="13"/>
      <c r="C853" s="13"/>
      <c r="D853" s="4"/>
      <c r="E853" s="10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>
      <c r="A854" s="13"/>
      <c r="B854" s="13"/>
      <c r="C854" s="13"/>
      <c r="D854" s="4"/>
      <c r="E854" s="10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>
      <c r="A855" s="13"/>
      <c r="B855" s="13"/>
      <c r="C855" s="13"/>
      <c r="D855" s="4"/>
      <c r="E855" s="10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>
      <c r="A856" s="13"/>
      <c r="B856" s="13"/>
      <c r="C856" s="13"/>
      <c r="D856" s="4"/>
      <c r="E856" s="10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>
      <c r="A857" s="13"/>
      <c r="B857" s="13"/>
      <c r="C857" s="13"/>
      <c r="D857" s="4"/>
      <c r="E857" s="10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>
      <c r="A858" s="13"/>
      <c r="B858" s="13"/>
      <c r="C858" s="13"/>
      <c r="D858" s="4"/>
      <c r="E858" s="10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>
      <c r="A859" s="13"/>
      <c r="B859" s="13"/>
      <c r="C859" s="13"/>
      <c r="D859" s="4"/>
      <c r="E859" s="10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>
      <c r="A860" s="13"/>
      <c r="B860" s="13"/>
      <c r="C860" s="13"/>
      <c r="D860" s="4"/>
      <c r="E860" s="10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>
      <c r="A861" s="13"/>
      <c r="B861" s="13"/>
      <c r="C861" s="13"/>
      <c r="D861" s="4"/>
      <c r="E861" s="10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>
      <c r="A862" s="13"/>
      <c r="B862" s="13"/>
      <c r="C862" s="13"/>
      <c r="D862" s="4"/>
      <c r="E862" s="10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>
      <c r="A863" s="13"/>
      <c r="B863" s="13"/>
      <c r="C863" s="13"/>
      <c r="D863" s="4"/>
      <c r="E863" s="10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>
      <c r="A864" s="13"/>
      <c r="B864" s="13"/>
      <c r="C864" s="13"/>
      <c r="D864" s="4"/>
      <c r="E864" s="10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>
      <c r="A865" s="13"/>
      <c r="B865" s="13"/>
      <c r="C865" s="13"/>
      <c r="D865" s="4"/>
      <c r="E865" s="10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>
      <c r="A866" s="13"/>
      <c r="B866" s="13"/>
      <c r="C866" s="13"/>
      <c r="D866" s="4"/>
      <c r="E866" s="10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>
      <c r="A867" s="13"/>
      <c r="B867" s="13"/>
      <c r="C867" s="13"/>
      <c r="D867" s="4"/>
      <c r="E867" s="10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>
      <c r="A868" s="13"/>
      <c r="B868" s="13"/>
      <c r="C868" s="13"/>
      <c r="D868" s="4"/>
      <c r="E868" s="10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>
      <c r="A869" s="13"/>
      <c r="B869" s="13"/>
      <c r="C869" s="13"/>
      <c r="D869" s="4"/>
      <c r="E869" s="10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>
      <c r="A870" s="13"/>
      <c r="B870" s="13"/>
      <c r="C870" s="13"/>
      <c r="D870" s="4"/>
      <c r="E870" s="10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>
      <c r="A871" s="13"/>
      <c r="B871" s="13"/>
      <c r="C871" s="13"/>
      <c r="D871" s="4"/>
      <c r="E871" s="10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>
      <c r="A872" s="13"/>
      <c r="B872" s="13"/>
      <c r="C872" s="13"/>
      <c r="D872" s="4"/>
      <c r="E872" s="10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>
      <c r="A873" s="13"/>
      <c r="B873" s="13"/>
      <c r="C873" s="13"/>
      <c r="D873" s="4"/>
      <c r="E873" s="10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>
      <c r="A874" s="13"/>
      <c r="B874" s="13"/>
      <c r="C874" s="13"/>
      <c r="D874" s="4"/>
      <c r="E874" s="10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>
      <c r="A875" s="13"/>
      <c r="B875" s="13"/>
      <c r="C875" s="13"/>
      <c r="D875" s="4"/>
      <c r="E875" s="10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>
      <c r="A876" s="13"/>
      <c r="B876" s="13"/>
      <c r="C876" s="13"/>
      <c r="D876" s="4"/>
      <c r="E876" s="10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>
      <c r="A877" s="13"/>
      <c r="B877" s="13"/>
      <c r="C877" s="13"/>
      <c r="D877" s="4"/>
      <c r="E877" s="10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>
      <c r="A878" s="13"/>
      <c r="B878" s="13"/>
      <c r="C878" s="13"/>
      <c r="D878" s="4"/>
      <c r="E878" s="10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>
      <c r="A879" s="13"/>
      <c r="B879" s="13"/>
      <c r="C879" s="13"/>
      <c r="D879" s="4"/>
      <c r="E879" s="10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>
      <c r="A880" s="13"/>
      <c r="B880" s="13"/>
      <c r="C880" s="13"/>
      <c r="D880" s="4"/>
      <c r="E880" s="10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>
      <c r="A881" s="13"/>
      <c r="B881" s="13"/>
      <c r="C881" s="13"/>
      <c r="D881" s="4"/>
      <c r="E881" s="10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>
      <c r="A882" s="13"/>
      <c r="B882" s="13"/>
      <c r="C882" s="13"/>
      <c r="D882" s="4"/>
      <c r="E882" s="10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>
      <c r="A883" s="13"/>
      <c r="B883" s="13"/>
      <c r="C883" s="13"/>
      <c r="D883" s="4"/>
      <c r="E883" s="10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>
      <c r="A884" s="13"/>
      <c r="B884" s="13"/>
      <c r="C884" s="13"/>
      <c r="D884" s="4"/>
      <c r="E884" s="10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>
      <c r="A885" s="13"/>
      <c r="B885" s="13"/>
      <c r="C885" s="13"/>
      <c r="D885" s="4"/>
      <c r="E885" s="10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>
      <c r="A886" s="13"/>
      <c r="B886" s="13"/>
      <c r="C886" s="13"/>
      <c r="D886" s="4"/>
      <c r="E886" s="10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>
      <c r="A887" s="13"/>
      <c r="B887" s="13"/>
      <c r="C887" s="13"/>
      <c r="D887" s="4"/>
      <c r="E887" s="10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>
      <c r="A888" s="13"/>
      <c r="B888" s="13"/>
      <c r="C888" s="13"/>
      <c r="D888" s="4"/>
      <c r="E888" s="10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>
      <c r="A889" s="13"/>
      <c r="B889" s="13"/>
      <c r="C889" s="13"/>
      <c r="D889" s="4"/>
      <c r="E889" s="10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>
      <c r="A890" s="13"/>
      <c r="B890" s="13"/>
      <c r="C890" s="13"/>
      <c r="D890" s="4"/>
      <c r="E890" s="10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>
      <c r="A891" s="13"/>
      <c r="B891" s="13"/>
      <c r="C891" s="13"/>
      <c r="D891" s="4"/>
      <c r="E891" s="10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>
      <c r="A892" s="13"/>
      <c r="B892" s="13"/>
      <c r="C892" s="13"/>
      <c r="D892" s="4"/>
      <c r="E892" s="10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>
      <c r="A893" s="13"/>
      <c r="B893" s="13"/>
      <c r="C893" s="13"/>
      <c r="D893" s="4"/>
      <c r="E893" s="10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>
      <c r="A894" s="13"/>
      <c r="B894" s="13"/>
      <c r="C894" s="13"/>
      <c r="D894" s="4"/>
      <c r="E894" s="10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>
      <c r="A895" s="13"/>
      <c r="B895" s="13"/>
      <c r="C895" s="13"/>
      <c r="D895" s="4"/>
      <c r="E895" s="10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>
      <c r="A896" s="13"/>
      <c r="B896" s="13"/>
      <c r="C896" s="13"/>
      <c r="D896" s="4"/>
      <c r="E896" s="10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>
      <c r="A897" s="13"/>
      <c r="B897" s="13"/>
      <c r="C897" s="13"/>
      <c r="D897" s="4"/>
      <c r="E897" s="10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>
      <c r="A898" s="13"/>
      <c r="B898" s="13"/>
      <c r="C898" s="13"/>
      <c r="D898" s="4"/>
      <c r="E898" s="10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>
      <c r="A899" s="13"/>
      <c r="B899" s="13"/>
      <c r="C899" s="13"/>
      <c r="D899" s="4"/>
      <c r="E899" s="10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>
      <c r="A900" s="13"/>
      <c r="B900" s="13"/>
      <c r="C900" s="13"/>
      <c r="D900" s="4"/>
      <c r="E900" s="10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>
      <c r="A901" s="13"/>
      <c r="B901" s="13"/>
      <c r="C901" s="13"/>
      <c r="D901" s="4"/>
      <c r="E901" s="10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>
      <c r="A902" s="13"/>
      <c r="B902" s="13"/>
      <c r="C902" s="13"/>
      <c r="D902" s="4"/>
      <c r="E902" s="10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>
      <c r="A903" s="13"/>
      <c r="B903" s="13"/>
      <c r="C903" s="13"/>
      <c r="D903" s="4"/>
      <c r="E903" s="10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>
      <c r="A904" s="13"/>
      <c r="B904" s="13"/>
      <c r="C904" s="13"/>
      <c r="D904" s="4"/>
      <c r="E904" s="10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>
      <c r="A905" s="13"/>
      <c r="B905" s="13"/>
      <c r="C905" s="13"/>
      <c r="D905" s="4"/>
      <c r="E905" s="10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>
      <c r="A906" s="13"/>
      <c r="B906" s="13"/>
      <c r="C906" s="13"/>
      <c r="D906" s="4"/>
      <c r="E906" s="10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>
      <c r="A907" s="13"/>
      <c r="B907" s="13"/>
      <c r="C907" s="13"/>
      <c r="D907" s="4"/>
      <c r="E907" s="10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>
      <c r="A908" s="13"/>
      <c r="B908" s="13"/>
      <c r="C908" s="13"/>
      <c r="D908" s="4"/>
      <c r="E908" s="10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>
      <c r="A909" s="13"/>
      <c r="B909" s="13"/>
      <c r="C909" s="13"/>
      <c r="D909" s="4"/>
      <c r="E909" s="10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>
      <c r="A910" s="13"/>
      <c r="B910" s="13"/>
      <c r="C910" s="13"/>
      <c r="D910" s="4"/>
      <c r="E910" s="10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>
      <c r="A911" s="13"/>
      <c r="B911" s="13"/>
      <c r="C911" s="13"/>
      <c r="D911" s="4"/>
      <c r="E911" s="10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>
      <c r="A912" s="13"/>
      <c r="B912" s="13"/>
      <c r="C912" s="13"/>
      <c r="D912" s="4"/>
      <c r="E912" s="10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>
      <c r="A913" s="13"/>
      <c r="B913" s="13"/>
      <c r="C913" s="13"/>
      <c r="D913" s="4"/>
      <c r="E913" s="10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>
      <c r="A914" s="13"/>
      <c r="B914" s="13"/>
      <c r="C914" s="13"/>
      <c r="D914" s="4"/>
      <c r="E914" s="10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>
      <c r="A915" s="13"/>
      <c r="B915" s="13"/>
      <c r="C915" s="13"/>
      <c r="D915" s="4"/>
      <c r="E915" s="10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>
      <c r="A916" s="13"/>
      <c r="B916" s="13"/>
      <c r="C916" s="13"/>
      <c r="D916" s="4"/>
      <c r="E916" s="10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>
      <c r="A917" s="13"/>
      <c r="B917" s="13"/>
      <c r="C917" s="13"/>
      <c r="D917" s="4"/>
      <c r="E917" s="10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>
      <c r="A918" s="13"/>
      <c r="B918" s="13"/>
      <c r="C918" s="13"/>
      <c r="D918" s="4"/>
      <c r="E918" s="10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>
      <c r="A919" s="13"/>
      <c r="B919" s="13"/>
      <c r="C919" s="13"/>
      <c r="D919" s="4"/>
      <c r="E919" s="10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>
      <c r="A920" s="13"/>
      <c r="B920" s="13"/>
      <c r="C920" s="13"/>
      <c r="D920" s="4"/>
      <c r="E920" s="10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>
      <c r="A921" s="13"/>
      <c r="B921" s="13"/>
      <c r="C921" s="13"/>
      <c r="D921" s="4"/>
      <c r="E921" s="10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>
      <c r="A922" s="13"/>
      <c r="B922" s="13"/>
      <c r="C922" s="13"/>
      <c r="D922" s="4"/>
      <c r="E922" s="10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>
      <c r="A923" s="13"/>
      <c r="B923" s="13"/>
      <c r="C923" s="13"/>
      <c r="D923" s="4"/>
      <c r="E923" s="10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>
      <c r="A924" s="13"/>
      <c r="B924" s="13"/>
      <c r="C924" s="13"/>
      <c r="D924" s="4"/>
      <c r="E924" s="10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>
      <c r="A925" s="13"/>
      <c r="B925" s="13"/>
      <c r="C925" s="13"/>
      <c r="D925" s="4"/>
      <c r="E925" s="10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>
      <c r="A926" s="13"/>
      <c r="B926" s="13"/>
      <c r="C926" s="13"/>
      <c r="D926" s="4"/>
      <c r="E926" s="10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>
      <c r="A927" s="13"/>
      <c r="B927" s="13"/>
      <c r="C927" s="13"/>
      <c r="D927" s="4"/>
      <c r="E927" s="10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>
      <c r="A928" s="13"/>
      <c r="B928" s="13"/>
      <c r="C928" s="13"/>
      <c r="D928" s="4"/>
      <c r="E928" s="10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>
      <c r="A929" s="13"/>
      <c r="B929" s="13"/>
      <c r="C929" s="13"/>
      <c r="D929" s="4"/>
      <c r="E929" s="10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>
      <c r="A930" s="13"/>
      <c r="B930" s="13"/>
      <c r="C930" s="13"/>
      <c r="D930" s="4"/>
      <c r="E930" s="10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>
      <c r="A931" s="13"/>
      <c r="B931" s="13"/>
      <c r="C931" s="13"/>
      <c r="D931" s="4"/>
      <c r="E931" s="10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>
      <c r="A932" s="13"/>
      <c r="B932" s="13"/>
      <c r="C932" s="13"/>
      <c r="D932" s="4"/>
      <c r="E932" s="10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>
      <c r="A933" s="13"/>
      <c r="B933" s="13"/>
      <c r="C933" s="13"/>
      <c r="D933" s="4"/>
      <c r="E933" s="10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>
      <c r="A934" s="13"/>
      <c r="B934" s="13"/>
      <c r="C934" s="13"/>
      <c r="D934" s="4"/>
      <c r="E934" s="10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>
      <c r="A935" s="13"/>
      <c r="B935" s="13"/>
      <c r="C935" s="13"/>
      <c r="D935" s="4"/>
      <c r="E935" s="10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</sheetData>
  <hyperlinks>
    <hyperlink ref="C16" r:id="rId1" xr:uid="{00000000-0004-0000-0100-000000000000}"/>
    <hyperlink ref="C23" r:id="rId2" xr:uid="{00000000-0004-0000-0100-000001000000}"/>
    <hyperlink ref="C25" r:id="rId3" xr:uid="{00000000-0004-0000-0100-000002000000}"/>
    <hyperlink ref="C27" r:id="rId4" xr:uid="{00000000-0004-0000-0100-000003000000}"/>
    <hyperlink ref="C49" r:id="rId5" xr:uid="{00000000-0004-0000-0100-000004000000}"/>
    <hyperlink ref="C59" r:id="rId6" xr:uid="{00000000-0004-0000-0100-000005000000}"/>
    <hyperlink ref="C65" r:id="rId7" xr:uid="{00000000-0004-0000-0100-000006000000}"/>
    <hyperlink ref="C72" r:id="rId8" xr:uid="{00000000-0004-0000-0100-000007000000}"/>
    <hyperlink ref="C97" r:id="rId9" xr:uid="{00000000-0004-0000-0100-000008000000}"/>
    <hyperlink ref="C103" r:id="rId10" xr:uid="{00000000-0004-0000-0100-000009000000}"/>
    <hyperlink ref="C115" r:id="rId11" xr:uid="{00000000-0004-0000-01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Эконом. эффективность 2026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2026-08-20T13:41:12Z</dcterms:modified>
</cp:coreProperties>
</file>