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ВМ Эконом. эффективность 2026" sheetId="1" r:id="rId5"/>
    <sheet state="visible" name="Эконом. эффективность 2026 " sheetId="2" r:id="rId6"/>
    <sheet state="visible" name="Эконом. эффективность 2025" sheetId="3" r:id="rId7"/>
    <sheet state="visible" name="Расчеты для клиентов" sheetId="4" r:id="rId8"/>
    <sheet state="hidden" name="Эконом. эффективность  доллары" sheetId="5" r:id="rId9"/>
    <sheet state="hidden" name="Эконом эффективность TruKKer (E" sheetId="6" r:id="rId10"/>
    <sheet state="hidden" name="Эконом эффективность Sparkland " sheetId="7" r:id="rId11"/>
    <sheet state="visible" name="Общие правила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tc={f771f645-7de2-4404-a62b-67f24c1defe1}</author>
  </authors>
  <commentList>
    <comment authorId="0" xr:uid="{f771f645-7de2-4404-a62b-67f24c1defe1}" ref="A1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а почему ты тут берешь эффект от кадровых ошибок - как тут сертификация помогает? логику не доперла
</t>
      </text>
    </comment>
  </commentList>
</comments>
</file>

<file path=xl/sharedStrings.xml><?xml version="1.0" encoding="utf-8"?>
<sst xmlns="http://schemas.openxmlformats.org/spreadsheetml/2006/main" count="950" uniqueCount="418">
  <si>
    <t>Юнит</t>
  </si>
  <si>
    <t>Клиент</t>
  </si>
  <si>
    <t>Данные, выделеные желтой заливкой заполняются под компанию</t>
  </si>
  <si>
    <t>Продукт</t>
  </si>
  <si>
    <t>Данные</t>
  </si>
  <si>
    <t>Показатели</t>
  </si>
  <si>
    <t>Комментарии</t>
  </si>
  <si>
    <t>Комментарии АА</t>
  </si>
  <si>
    <t>Комментарии ВМ</t>
  </si>
  <si>
    <t>Graduates</t>
  </si>
  <si>
    <t>Graduate Recruitment</t>
  </si>
  <si>
    <t>Стажировки</t>
  </si>
  <si>
    <t>комменты для нас</t>
  </si>
  <si>
    <t>Экономическая эффективность найма стажеров по сравнению со специалистами только за счет разницы в зарплатных ожиданиях</t>
  </si>
  <si>
    <t>Биздев</t>
  </si>
  <si>
    <t>Если выбрали другое - списать сюда</t>
  </si>
  <si>
    <t>Ссылка на файл</t>
  </si>
  <si>
    <t>НСПК</t>
  </si>
  <si>
    <t>Количество стажеров</t>
  </si>
  <si>
    <t>Экономическая эффективность от найма именно HiPo стажеров</t>
  </si>
  <si>
    <t>Средняя зарплата стажера в месяц</t>
  </si>
  <si>
    <t>Экономическая эффективность за счет зарплат стажеров</t>
  </si>
  <si>
    <t>Полина Т</t>
  </si>
  <si>
    <t>Средняя зарплата специалиста в месяц</t>
  </si>
  <si>
    <t>Стажеров за год (все волны), чел</t>
  </si>
  <si>
    <t>Процент эффективности стажера по сравнению с специалистом</t>
  </si>
  <si>
    <t>Длительность стажировки, месяцев</t>
  </si>
  <si>
    <t>Дополнительные расходы на сотрудника (налог НДФЛ, соц взносы, 1 месяц отпуска, 2 недели гос праздников, 2 недели больничного и т.д.)</t>
  </si>
  <si>
    <r>
      <rPr>
        <rFont val="Arial"/>
        <color theme="1"/>
        <sz val="11.0"/>
      </rPr>
      <t xml:space="preserve">Коэффицент эффективности стажера vs </t>
    </r>
    <r>
      <rPr>
        <rFont val="Arial"/>
        <b/>
        <color theme="1"/>
        <sz val="11.0"/>
      </rPr>
      <t>джун+/спец</t>
    </r>
    <r>
      <rPr>
        <rFont val="Arial"/>
        <color theme="1"/>
        <sz val="11.0"/>
      </rPr>
      <t xml:space="preserve"> </t>
    </r>
  </si>
  <si>
    <t>EVP</t>
  </si>
  <si>
    <t>-</t>
  </si>
  <si>
    <t>Согласоно исследованию Mühlemann, S. The cost and benefits of work-based learning.  Стажеры, справляются с задачами на 50% менее эффективно, чем специалисты. Подобные исследования проводились в разных странах и среднее значение - 37%.</t>
  </si>
  <si>
    <t>НСПК и Эрман</t>
  </si>
  <si>
    <r>
      <rPr>
        <rFont val="Arial"/>
        <color theme="1"/>
        <sz val="10.0"/>
      </rPr>
      <t xml:space="preserve">Коэффицент роста стажера vs </t>
    </r>
    <r>
      <rPr>
        <rFont val="Arial"/>
        <b/>
        <color theme="1"/>
        <sz val="10.0"/>
      </rPr>
      <t>джун+/спец</t>
    </r>
    <r>
      <rPr>
        <rFont val="Arial"/>
        <color theme="1"/>
        <sz val="10.0"/>
      </rPr>
      <t xml:space="preserve"> за период стажировки (доля), %</t>
    </r>
  </si>
  <si>
    <t>Заработная плата специалиста с рынка для компаний. руб/мес</t>
  </si>
  <si>
    <r>
      <rPr>
        <rFont val="Arial"/>
        <color theme="1"/>
        <sz val="11.0"/>
      </rPr>
      <t xml:space="preserve">Стоимость </t>
    </r>
    <r>
      <rPr>
        <rFont val="Arial"/>
        <b/>
        <color theme="1"/>
        <sz val="11.0"/>
      </rPr>
      <t>специалиста</t>
    </r>
    <r>
      <rPr>
        <rFont val="Arial"/>
        <color theme="1"/>
        <sz val="11.0"/>
      </rPr>
      <t xml:space="preserve"> с рынка для компании с учетом всех затрат, руб/мес</t>
    </r>
  </si>
  <si>
    <t>13% - НДФЛ, 30% - соц. взносы, 28 календарных дней отпуска (это 1/12 от зарплаты), 2 недели гос праздников (Новый год + майские и т.д.; это 1/12/2 от зарплаты), 2 недели больничных в год (это 1/12/2 от зарплаты)</t>
  </si>
  <si>
    <r>
      <rPr>
        <rFont val="Calibri"/>
        <sz val="11.0"/>
      </rPr>
      <t>Согласоно исследованию Cost and Benefit of Apprenticeship Training: A Comparison of Germany and Switzerland.  Стажеры, справляются с задачами на 50% менее эффективно, чем специалисты. Подобные исследования проводились в разных странах и среднее значение - 37%.
Однако и</t>
    </r>
    <r>
      <rPr>
        <rFont val="Calibri"/>
        <color rgb="FF1155CC"/>
        <sz val="11.0"/>
        <u/>
      </rPr>
      <t>сследование Maestro Consulting и  PepsiCo по системе LeAD указано, что HiPo продвигались в 1.5–2.5 раза быстрее, чем остальные. Мы берем минимальное значение 1,5 раза.  
Сильно обучающиеся (быстро учатся) agile-специалисты продвигаются в два раза быстрее.</t>
    </r>
  </si>
  <si>
    <t>Период для сравнения (кол-во месяцев)</t>
  </si>
  <si>
    <t>Экономия найма стажеров по сравнению со специалистами</t>
  </si>
  <si>
    <t>Эрман</t>
  </si>
  <si>
    <t>Зарплата + налоги 60%: 13% - НДФЛ, 30% - соц. взносы, 28 календарных дней отпуска (это 1/12 от зарплаты), 2 недели гос праздников (Новый год + майские и т.д.; это 1/12/2 от зарплаты), 2 недели больничных в год (это 1/12/2 от зарплаты)</t>
  </si>
  <si>
    <t>Активация</t>
  </si>
  <si>
    <t>Заработная плата стажера с рынка для компаний. руб/мес</t>
  </si>
  <si>
    <r>
      <rPr>
        <rFont val="Arial"/>
        <color theme="1"/>
        <sz val="10.0"/>
      </rPr>
      <t xml:space="preserve">Стоимость </t>
    </r>
    <r>
      <rPr>
        <rFont val="Arial"/>
        <b/>
        <color theme="1"/>
        <sz val="10.0"/>
      </rPr>
      <t>специалиста</t>
    </r>
    <r>
      <rPr>
        <rFont val="Arial"/>
        <color theme="1"/>
        <sz val="10.0"/>
      </rPr>
      <t xml:space="preserve"> с рынка для компании, руб/мес</t>
    </r>
  </si>
  <si>
    <t>Стоимость стажера для компании с учетом всех затрат, руб/мес</t>
  </si>
  <si>
    <t>MOEX</t>
  </si>
  <si>
    <t>Стоимость стажера для компании, руб/мес</t>
  </si>
  <si>
    <t xml:space="preserve">Процент перехода стажера в штат </t>
  </si>
  <si>
    <t>Карина З</t>
  </si>
  <si>
    <t>Экономия на зарплатах во время стажировки</t>
  </si>
  <si>
    <t>Внешний чемпионат / хакатон</t>
  </si>
  <si>
    <t>Хакатон и митапы MOEX.xlsx</t>
  </si>
  <si>
    <t>Экономический эффект от перехода в штат стажеров и сокращение найма специалистов</t>
  </si>
  <si>
    <t>Экономическая эффективность найма через Changellenge &gt;&gt; по сравнению с обычным рекрутмент агентством</t>
  </si>
  <si>
    <t>Примечание: его лучше пока не использовать, тк много спорных моментов</t>
  </si>
  <si>
    <t>Экономия от конверсии в штат</t>
  </si>
  <si>
    <t>Митапы / спецпроекты</t>
  </si>
  <si>
    <t>Объем найма (чел.)</t>
  </si>
  <si>
    <t>Магнит</t>
  </si>
  <si>
    <t>Боян</t>
  </si>
  <si>
    <t>ДРУГОЕ</t>
  </si>
  <si>
    <t>Аламни участников программ</t>
  </si>
  <si>
    <t>Alumni_ROI_Магнит.xlsx</t>
  </si>
  <si>
    <t xml:space="preserve">Средняя заработная плата лидеров/руководителей
</t>
  </si>
  <si>
    <t>Эффект от найма</t>
  </si>
  <si>
    <t>Средняя зарплата на позиции в месяц</t>
  </si>
  <si>
    <t>Данные прогнозируем сами или узнаем у клиента</t>
  </si>
  <si>
    <t xml:space="preserve">Стоимость внешнего найма
</t>
  </si>
  <si>
    <t>Средняя зарплата на позиции в год</t>
  </si>
  <si>
    <t>Это рыночный показатель средней стоимости найма через рекрутинговое агентство (15-20%)</t>
  </si>
  <si>
    <t>Внутренний чемпионат/хакатон</t>
  </si>
  <si>
    <t>МОЕХ_бизнес_эффективность_марафон_роста_1.xlsx</t>
  </si>
  <si>
    <t>Найм одного специалиста</t>
  </si>
  <si>
    <t>Средний % от годовой зарплаты, что возьмет агентство</t>
  </si>
  <si>
    <t>Стоимость найма через агентство</t>
  </si>
  <si>
    <t>Пятерочка и Перекресток</t>
  </si>
  <si>
    <t>Сколько мы теряем в процессе адаптации специалиста с рынка</t>
  </si>
  <si>
    <t>Эффект от продвижения бренда работодателя</t>
  </si>
  <si>
    <t>Рекламный охват, необходимый для найма нужного количества людей (при конверсии в найм - 0,01%)</t>
  </si>
  <si>
    <t xml:space="preserve">Не менее 6 месяцев до полной эффективности (до года при неэффективной адаптации) по данным Всероссийского исследования корпоративных программ адаптации </t>
  </si>
  <si>
    <t>Примерная стоимость охвата</t>
  </si>
  <si>
    <t>Экономическая эффективность найма через СЛ по сравнению с агентством</t>
  </si>
  <si>
    <t>Стоимость найма через Changellenge &gt;&gt;</t>
  </si>
  <si>
    <t xml:space="preserve">Сколько специалистов мы можем получить </t>
  </si>
  <si>
    <t>Итоговый экономический эффект от найма HiPo стажеров</t>
  </si>
  <si>
    <t>Экономическая эффективность продвижения по каналам CL в зависимости от объема полученных лидов</t>
  </si>
  <si>
    <t>Среднее значение конферсии в штат 60% по опыту проведения тсажировок для крупных компаний. Мы берем цифру 30% для учета рисков</t>
  </si>
  <si>
    <t>Экономия на зарплатах во время стажировки HiPo кандидатов</t>
  </si>
  <si>
    <t>Кол-во полученных лидов с комплекта промо по базе (минимум)</t>
  </si>
  <si>
    <t>Кол-во полученных лидов с комплекта промо по базе (максимум)</t>
  </si>
  <si>
    <t>Эффект от перехода стажеров в штатных специалистов</t>
  </si>
  <si>
    <t>Стоимость за лид</t>
  </si>
  <si>
    <t>Объем аудитории, что в рамках рассылки в 200 000 человек увидит ваше предложение</t>
  </si>
  <si>
    <t>Стоимость контакта с точки зрения бренда работодателя</t>
  </si>
  <si>
    <t>Стоимость программы стажировки от Changellenge&gt;&gt;</t>
  </si>
  <si>
    <t>Изменяемый показатель</t>
  </si>
  <si>
    <t>Минимальный экономический эффект</t>
  </si>
  <si>
    <t>Стоимость работы команды Партнера</t>
  </si>
  <si>
    <t>Максимальный экономический эффект</t>
  </si>
  <si>
    <t>Экономический эффект от снижения расходов на привлечение новых кандидатов после влияния бренда работодателя</t>
  </si>
  <si>
    <t>ФОТ на команду работы с молодежью 
+(0,2 ФТЕ менеджера и 0,5 ФТЕ мидла/джуна работающего и отвечающего за стажерскую программу + 0,5 ФТЕ рекрутера)
+ налоги 60%
+ ФОТ наставников, обучения итд (в среднем 50% в полугодие)</t>
  </si>
  <si>
    <t>З/п специалиста среднего звена на рынке в месяц</t>
  </si>
  <si>
    <t>ROI</t>
  </si>
  <si>
    <t xml:space="preserve">Эффект 4. Экономическая эффективность найма через формат One Day Offer в сравнении с классическим подходом
</t>
  </si>
  <si>
    <t>Количество человек, что можно нанять через формат One Day Offer</t>
  </si>
  <si>
    <t>Данные прогнозируем в зависимости от позиции</t>
  </si>
  <si>
    <t>З/п специалиста среднего звена на рынке в год</t>
  </si>
  <si>
    <t>EVP - Снижение неопределенности и повышение качества управленческих решений</t>
  </si>
  <si>
    <t>Employer branding</t>
  </si>
  <si>
    <t>Снижения неопределенности и повышения качества управленческих решений</t>
  </si>
  <si>
    <t>https://www.fastcompany.com/91251439/how-brand-savvy-hr-teams-slash-recruitment-costs?utm_source=chatgpt.com</t>
  </si>
  <si>
    <t>Количество собранных заявок в рамках One Day Offer</t>
  </si>
  <si>
    <t>Средняя стоимость каждой заявки</t>
  </si>
  <si>
    <t>Стоимость базы</t>
  </si>
  <si>
    <t>Стоимость найма нового сотрудника в год</t>
  </si>
  <si>
    <t>Средняя зарплата в компании после вычета налогов, в месяц</t>
  </si>
  <si>
    <t>Снижение расходов на привлечение нового сотрудника после проведения стажировки</t>
  </si>
  <si>
    <t>Средняя зарплата в компании после вычета налогов, в год</t>
  </si>
  <si>
    <t xml:space="preserve">Экономическая эффективность найма через формат One Day Offer в сравнении с классическим подходом
</t>
  </si>
  <si>
    <r>
      <rPr>
        <rFont val="Arial"/>
        <i/>
        <color rgb="FF000000"/>
        <sz val="10.0"/>
      </rPr>
      <t xml:space="preserve">Согласно Linkedin, в среднем компании с более сильным брендом работодателя экономят на поиске и привлечение кандидатов до 43%: </t>
    </r>
    <r>
      <rPr>
        <rFont val="Arial"/>
        <i/>
        <color rgb="FF1155CC"/>
        <sz val="10.0"/>
        <u/>
      </rPr>
      <t>https://www.linkedin.com/business/talent/blog/talent-acquisition/roi-of-talent-brand?utm_source=chatgpt.com.</t>
    </r>
    <r>
      <rPr>
        <rFont val="Arial"/>
        <i/>
        <color rgb="FF000000"/>
        <sz val="10.0"/>
      </rPr>
      <t xml:space="preserve"> Для консервативного сценария мы снижаем эту цифру в 3 раза. </t>
    </r>
  </si>
  <si>
    <t>Экономическая эффективность пакетного предложения по сравнению с приобритением всех услуг по отдельности</t>
  </si>
  <si>
    <t>Количество сотрудников в компании</t>
  </si>
  <si>
    <t>Размещение страницы о компании на сайте</t>
  </si>
  <si>
    <t>Расходы на ФОТ (без учета налогов и отчислений)</t>
  </si>
  <si>
    <t>Размещение инфоповодов в дайджест рассылке (до 24 шт.) в течение года</t>
  </si>
  <si>
    <t>% найма от количества сотрудников в год</t>
  </si>
  <si>
    <t>NACE Job Outlook</t>
  </si>
  <si>
    <t>Размещение инфоповода на сайте Changellenge (до 180 шт.) в течение года</t>
  </si>
  <si>
    <t>Расходы на превышение з/п в среднем на 3%</t>
  </si>
  <si>
    <t>Размещение вакансий в Telegram канале Changellenge (до 120 шт.) в течение года</t>
  </si>
  <si>
    <r>
      <rPr>
        <rFont val="Arial"/>
        <i/>
        <sz val="8.0"/>
      </rPr>
      <t>Исследование Wade Burgess, опубликованное в Harvard Business Review, говорит “Компании со слабым брендом работодателя переплачивают сотрудникам примерно 10% заработной платы” (</t>
    </r>
    <r>
      <rPr>
        <rFont val="Arial"/>
        <i/>
        <color rgb="FF1155CC"/>
        <sz val="8.0"/>
        <u/>
      </rPr>
      <t>https://hbr.org/2016/03/a-bad-reputation-costs-company-at-least-10-more-per-hire</t>
    </r>
    <r>
      <rPr>
        <rFont val="Arial"/>
        <i/>
        <sz val="8.0"/>
      </rPr>
      <t>). При этом мы берем консервативную оценку и понижаем цифру с 10% в три раза до 3%</t>
    </r>
  </si>
  <si>
    <t>Объем найма специалистов среднего звена в год (чел.)</t>
  </si>
  <si>
    <t>Размещение в подборке вакансий в группе Changellenge &gt;&gt; в Вконтакте
на 110 000 подписчиков (до 24 шт. в течение года)</t>
  </si>
  <si>
    <t>Экономический эффект от влияния на бренд работодателя</t>
  </si>
  <si>
    <t>Экономическая эффективность пакетного предложения по сравнению с приобретением всех услуг по отдельности</t>
  </si>
  <si>
    <t>Итоговый экономический эффект от стажировки</t>
  </si>
  <si>
    <t>13% - НДФЛ, 30% - соц. взносы, 28 календарных дней отпуска (это 1/12 от зарплаты), 2 недели гос праздников (Новый год + майские и т.д.; это 1/12/2 от зарплаты), 1 неделя больничных в год (это 1/12/4 от зарплаты)</t>
  </si>
  <si>
    <t>Экономический эффект от реализации стажировки</t>
  </si>
  <si>
    <t>Экономический эффект в год: сумма расходов на повышение зарплаты и на дополнительные расходы на сотрудника</t>
  </si>
  <si>
    <t>Экономическая эффективность инвестиций в EVP из-за возможности не переплачивать сотрудникам</t>
  </si>
  <si>
    <t>Экономический эффект от снижения текучки после создания бренда работодателя</t>
  </si>
  <si>
    <t>Экономический эффект от снижения расходов на привлечение новых кандидатов после проведения стажировки</t>
  </si>
  <si>
    <t>Годовая текучесть до внедрения преокта</t>
  </si>
  <si>
    <t>На сколько мы снижаем текучесть</t>
  </si>
  <si>
    <r>
      <rPr>
        <rFont val="Arial"/>
        <i/>
        <color rgb="FF7622D7"/>
        <sz val="8.0"/>
      </rPr>
      <t xml:space="preserve">According to </t>
    </r>
    <r>
      <rPr>
        <rFont val="Arial"/>
        <i/>
        <color rgb="FF7622D7"/>
        <sz val="8.0"/>
        <u/>
      </rPr>
      <t>Gartner</t>
    </r>
    <r>
      <rPr>
        <rFont val="Arial"/>
        <i/>
        <color rgb="FF7622D7"/>
        <sz val="8.0"/>
      </rPr>
      <t>, companies with a strong EVP reduce annual employee turnover by over two-thirds (69%) and increase new hire commitments by nearly 30%. Мы берем консервативную оценку: 69% / 3 = 23%</t>
    </r>
  </si>
  <si>
    <t>Стоимость программы стажировки от Changellenge &gt;&gt;</t>
  </si>
  <si>
    <r>
      <rPr>
        <rFont val="Arial"/>
        <i/>
        <sz val="8.0"/>
      </rPr>
      <t>Исследование Wade Burgess, опубликованное в Harvard Business Review, говорит “Компании со слабым брендом работодателя переплачивают сотрудникам примерно 10% заработной платы” (</t>
    </r>
    <r>
      <rPr>
        <rFont val="Arial"/>
        <i/>
        <color rgb="FF1155CC"/>
        <sz val="8.0"/>
        <u/>
      </rPr>
      <t>https://hbr.org/2016/03/a-bad-reputation-costs-company-at-least-10-more-per-hire</t>
    </r>
    <r>
      <rPr>
        <rFont val="Arial"/>
        <i/>
        <sz val="8.0"/>
      </rPr>
      <t>). При этом мы берем консервативную оценку и понижаем цифру с 10% в три раза до 3%</t>
    </r>
  </si>
  <si>
    <t>Текучесть после внедрения активности</t>
  </si>
  <si>
    <t>На сколько меньше людей нужно нанимать</t>
  </si>
  <si>
    <t>ФОТ на команду работы с молодежью 
 +(0,2 ФТЕ менеджера и 0,5 ФТЕ мидла/джуна работающего и отвечающего за стажерскую программу + 0,5 ФТЕ рекрутера)
 + налоги 60%
 + ФОТ наставников, обучения итд (в среднем 50% в полугодие)</t>
  </si>
  <si>
    <t>Затраты</t>
  </si>
  <si>
    <t>Средняя зарплата в компании в месяц после вычета налогов</t>
  </si>
  <si>
    <t>Стоимость найма нового сотрудника, % от годового дохода</t>
  </si>
  <si>
    <t>Стоимость найма нового сотрудника</t>
  </si>
  <si>
    <t>ROI (1 год) = (Выгоды − Затраты) / Затраты</t>
  </si>
  <si>
    <t>Экономический эффект от снижения текучки после создания EVP</t>
  </si>
  <si>
    <t>Экономический эффект от снижения расходов на привлечение новых кандидатов после развития бренда работодателя</t>
  </si>
  <si>
    <r>
      <rPr>
        <rFont val="Arial"/>
        <i/>
        <color rgb="FF7622D7"/>
        <sz val="8.0"/>
      </rPr>
      <t xml:space="preserve">According to </t>
    </r>
    <r>
      <rPr>
        <rFont val="Arial"/>
        <i/>
        <color rgb="FF7622D7"/>
        <sz val="8.0"/>
        <u/>
      </rPr>
      <t>Gartner</t>
    </r>
    <r>
      <rPr>
        <rFont val="Arial"/>
        <i/>
        <color rgb="FF7622D7"/>
        <sz val="8.0"/>
      </rPr>
      <t>, companies with a strong EVP reduce annual employee turnover by over two-thirds (69%) and increase new hire commitments by nearly 30%. Мы берем консервативную оценку: 69% / 3 = 23%</t>
    </r>
  </si>
  <si>
    <t>Кейс-чемпионат для сотрудников</t>
  </si>
  <si>
    <t>Снижение расходов на привлечение нового сотрудника после внедрения EVP</t>
  </si>
  <si>
    <t>Экономический эффект от повышения эффективности сотрудника по итогу проекта</t>
  </si>
  <si>
    <t>Количество участников</t>
  </si>
  <si>
    <r>
      <rPr>
        <rFont val="Arial"/>
        <i/>
        <sz val="8.0"/>
      </rPr>
      <t xml:space="preserve">Согласно Linkedin, в среднем компании с более сильным брендом работодателя экономят на поиск и привлечение кандидатов до 43%: </t>
    </r>
    <r>
      <rPr>
        <rFont val="Arial"/>
        <i/>
        <color rgb="FF1155CC"/>
        <sz val="8.0"/>
        <u/>
      </rPr>
      <t xml:space="preserve">https://hrmessenger.com/pochemu_hr_dolzhen_dumat_kak_marketolog. Для консервативного сценария мы снижаем эту цифру в 3 раза. </t>
    </r>
  </si>
  <si>
    <t>Средняя зарплата участника проекта в месяц</t>
  </si>
  <si>
    <t>% найма от количества сотрудников</t>
  </si>
  <si>
    <t>Экономический эффект от снижения расходов на привлечение новых кандидатов после внедрения EVP</t>
  </si>
  <si>
    <t>Расход на ФОТ в месяц</t>
  </si>
  <si>
    <t>Индекс аутентичности</t>
  </si>
  <si>
    <t xml:space="preserve">Повышения эффективности сотрудников по итогу проекта </t>
  </si>
  <si>
    <t>По данным исследования Stanford University, команды с высоким уровнем взаимодействия работают на 50% продуктивнее. Мы берем цифру в 3 раза меньше для адаптации к российскому рынку и учет иных возможных факторов</t>
  </si>
  <si>
    <t>Экономический эффект от разработки EVP (Сумма эффектов на индекс аутентичности</t>
  </si>
  <si>
    <r>
      <rPr>
        <rFont val="Arial"/>
        <i/>
        <sz val="8.0"/>
      </rPr>
      <t xml:space="preserve">Согласно Linkedin, в среднем компании с более сильным брендом работодателя экономят на поиск и привлечение кандидатов до 43%: </t>
    </r>
    <r>
      <rPr>
        <rFont val="Arial"/>
        <i/>
        <color rgb="FF1155CC"/>
        <sz val="8.0"/>
        <u/>
      </rPr>
      <t xml:space="preserve">https://hrmessenger.com/pochemu_hr_dolzhen_dumat_kak_marketolog. Для консервативного сценария мы снижаем эту цифру в 3 раза. </t>
    </r>
  </si>
  <si>
    <t>Марафон роста - внедрение идей и поиск лидеров для них</t>
  </si>
  <si>
    <t>L&amp;D</t>
  </si>
  <si>
    <t>Внутренние кейс-чемпионаты и центры-оценки</t>
  </si>
  <si>
    <t>Кейс-чемпионаты CL</t>
  </si>
  <si>
    <t>Найм через кейс-чемпионат Changellenge</t>
  </si>
  <si>
    <t>Кол-во молодежи, что можно нанять с чемпионата (для официальных партнеров)</t>
  </si>
  <si>
    <t>Средняя з/п стажера за месяц</t>
  </si>
  <si>
    <t xml:space="preserve">Эффект от R&amp;D или краудсорсинга </t>
  </si>
  <si>
    <t>Средняя з/п стажера за год</t>
  </si>
  <si>
    <t>Количество людей, что работают над кейсом или заданием</t>
  </si>
  <si>
    <t>Экономическая эффективность найма 5 стажеров через кейс-чемпионат</t>
  </si>
  <si>
    <t>По данным исследования Stanford University, команды с высоким уровнем взаимодействия работают на 50% продуктивнее. Мы берем цифру в 4 раза меньше для адаптации к российскому рынку и учет иных возможных факторов</t>
  </si>
  <si>
    <t>Наняв 5 человек компания полностью отбивает расходы на участие</t>
  </si>
  <si>
    <t>Эффект от R&amp;D или краудсорсинга на чемпионате</t>
  </si>
  <si>
    <t>Средняя зарплата в компании с учетом налогов</t>
  </si>
  <si>
    <t>Количество часов, что люди работают над заданием</t>
  </si>
  <si>
    <t>Стоимость часа работа этого человека на рынке аутсорса</t>
  </si>
  <si>
    <t>Средняя стоимость на рынке 2500-3000. Мы берем ставку сильно ниже для примера</t>
  </si>
  <si>
    <t>Стоимость 20 часов работы сотрудников</t>
  </si>
  <si>
    <t>Эффект от R&amp;D или краудсорсинга</t>
  </si>
  <si>
    <t>20 часов - среднее количество времени которое тратят сотрудники при участии в марафоне роста. Расчет строиться от общего количества часов в месяц - 168</t>
  </si>
  <si>
    <t xml:space="preserve">Вы получите эффективную R&amp;D работу,  которую сможете использовать в дальнейшей работе над продуктами компании
</t>
  </si>
  <si>
    <t xml:space="preserve">Стоимость проекта с Changellenge &gt;&gt; </t>
  </si>
  <si>
    <t>ВАРИАНТ 1</t>
  </si>
  <si>
    <t>Эффект от доступа к базе контактов с чемпионата</t>
  </si>
  <si>
    <t>ФОТ команды реализации с налогами (3 месяца)</t>
  </si>
  <si>
    <t>Количество контактов с чемпионата</t>
  </si>
  <si>
    <t>Текущий темп роста выручки компании за последние несколько лет</t>
  </si>
  <si>
    <t>2025 году выручка выросла на 14,7% относительно 2024 года, достигнув 807,2 млрд рублей. В 2024 году выросла на 16,1% год к году, достигнув рекордных 703,7 млрд рублей. В 2023 году выросла на 13,5% по сравнению с предыдущим годом, достигнув 606 млрд рублей. Средний темп роста выручки составляет 100 млрд рублей.</t>
  </si>
  <si>
    <t>Это если честно больше похоже на правильный расчет. Но мы можем встрять на расчете темпов роста выручки</t>
  </si>
  <si>
    <t>Стоимость каждого контакта (лида) на рынке в среднем</t>
  </si>
  <si>
    <t>Это рыночный показатель средней стоимости такого рода контакта HiPo аудитории</t>
  </si>
  <si>
    <t>Эффект от внедрения идей. Больший темпа роста выручки в год</t>
  </si>
  <si>
    <t>Уменьшающий коэффициент стоимости лида, т.к. на чемпионате принимают участие несколько партнеров и все имеют доступ к базе данных</t>
  </si>
  <si>
    <t>Кадровый резерв</t>
  </si>
  <si>
    <t>ФОТ на команду работы: 
0,3 ФТЕ менеджера и 1 ФТЕ мидла/джуна работающего и отвечающего за проект + 0,25 ФТЕ Эксперта по кейсу + 5 члена жюри в день финала (с учетом времени на подготовку)</t>
  </si>
  <si>
    <t>Accenture "Компании которые внедряют изменения увеличивают среднегодовой тем роста выручки на 50%". Для адаптации к российскому рынку и учет иных возможных факторов мы берем значение в 3 раза меньше - 17%</t>
  </si>
  <si>
    <t>Экономический эффект от доступа к базе контактов с чемпионата</t>
  </si>
  <si>
    <t>Совет диреторов не видит их работу, потому что на конференциях всегда другие</t>
  </si>
  <si>
    <t>Общие затраты на R&amp;D</t>
  </si>
  <si>
    <t>Экономическая эффективность от маркетингового охвата с чемпионата</t>
  </si>
  <si>
    <t>ВАРИАНТ 2</t>
  </si>
  <si>
    <t>Кол-во участников на чемпионате</t>
  </si>
  <si>
    <t>Маркетинговый охват на чемпионате</t>
  </si>
  <si>
    <t>Количество идей, которые понравились членам жюри</t>
  </si>
  <si>
    <t>Количество реализованных идей</t>
  </si>
  <si>
    <t>Среднее кол-во идей, которое может быть реализовано после соревнования (по опыту Changellenge &gt;&gt;) - 2</t>
  </si>
  <si>
    <t>Конверсия в реализацию (экспертная оценка жюри)</t>
  </si>
  <si>
    <t>По нашему олыту, в реализацию уходит 2-3 идеи. Команды, занявшие 1-3 место в конкурсе</t>
  </si>
  <si>
    <t>Стоимость контакта (охвата за чел.) на рынке</t>
  </si>
  <si>
    <t>Это рыночный показатель средней стоимости рекламного контакта на рынке</t>
  </si>
  <si>
    <t>Эффект от внедрения идей. Увеличение темпа роста выручки в год с одной идеи</t>
  </si>
  <si>
    <t>Эффект от внедрения идей. Увеличение темпа роста выручки в год</t>
  </si>
  <si>
    <t xml:space="preserve">Исследование Hall, Mairesse, Mohnen — Measuring the Returns to R&amp;D Внутри обзора есть ориентиры по ставкам возврата. Например, в одном из блоков по кейс-стади указано: медианная частная ставка возврата около 25%, медианная социальная ставка возврата около 56%. А значит идеи приносят на 25% больше, чем затраты на их реализацию. Для упрощения мы берем цифру в 2 раза меньше. </t>
  </si>
  <si>
    <t>Согласно данным международного экономического форума: Улучшение систем для обмена идеями способно принести компаниям дополнительный экономический эффект в размере $70–$140 млн в год. Для адаптации к российскому рынку и учет иных возможных факторов мы берем среднее значение, но считаем его в 3 раза меньше - $35 млн в год</t>
  </si>
  <si>
    <t>Итоговый экономический эффект от участия в кейс-чемпионате</t>
  </si>
  <si>
    <t>Итоговая экономическая эффективность найма 5 чел. через кейс-чемпионаты Changellenge &gt;&gt;</t>
  </si>
  <si>
    <t>Экономическая эффективность краудсорсинга через кейс-чемпионат</t>
  </si>
  <si>
    <t xml:space="preserve">Тут оч сомнительно считать эффект одинаковый для всех. Ну вот у нас если идею реализовать - мы ж не получим такой эффект:) </t>
  </si>
  <si>
    <t>Поиск лидеров в команде</t>
  </si>
  <si>
    <t>Итоговая экономическая эффективность от участия в кейс-чемпионатах Changellenge &gt;&gt;</t>
  </si>
  <si>
    <t xml:space="preserve">Кейс-чемпионаты уникальные </t>
  </si>
  <si>
    <t>Найм через кейс-чемпионат</t>
  </si>
  <si>
    <t xml:space="preserve">Найм одного лидера
</t>
  </si>
  <si>
    <t>Кол-во молодежи, что можно нанять с чемпионатов</t>
  </si>
  <si>
    <t>Сколько мы теряем в процессе адаптации руководителя с рынка</t>
  </si>
  <si>
    <t xml:space="preserve">Сколько лидеров мы можем получить </t>
  </si>
  <si>
    <t>В среднем до 10 человек за один проект. Берем цифру в 2 раза меньше</t>
  </si>
  <si>
    <t>Эффект от поиска лидера среди участников</t>
  </si>
  <si>
    <t>Кол-во опытных ребят, что можно нанять с чемпионата</t>
  </si>
  <si>
    <t>Средняя з/п опытного специалиста за месяц</t>
  </si>
  <si>
    <t>Сколько мы теряем в процессе адаптации внутреннего лидера</t>
  </si>
  <si>
    <t>Эффект от того, что лучше ИИ используют</t>
  </si>
  <si>
    <t>Средняя з/п оптыного специалиста за год</t>
  </si>
  <si>
    <t>Согласно исследованию Университета Пенсильвании - внутренние лидеры адаптируются на 18% быстрее</t>
  </si>
  <si>
    <t>Экономическая эффективность найма 5 опытных кандидатов через кейс-чемпионат</t>
  </si>
  <si>
    <t>З/п младшего специалиста на рынке в месяц</t>
  </si>
  <si>
    <t xml:space="preserve">Процент сотрудников, которые повысят свою эффектиность </t>
  </si>
  <si>
    <t xml:space="preserve">Экономия в процессе адаптации </t>
  </si>
  <si>
    <r>
      <rPr>
        <rFont val="Arial"/>
        <i/>
        <color rgb="FF1155CC"/>
        <sz val="10.0"/>
        <u/>
      </rPr>
      <t xml:space="preserve">BCG workforce benchmark: 42% регулярных пользователей ИИ заявили, что экономят целый рабочий день в неделю или больше 
</t>
    </r>
    <r>
      <rPr>
        <rFont val="Arial"/>
        <i/>
        <color rgb="FF1F1F1F"/>
        <sz val="10.0"/>
      </rPr>
      <t>Для упрощения берем цифру в три раза меньше - 1 день в 3 недели (или 4 дня за 3 месяца)</t>
    </r>
  </si>
  <si>
    <t>Сколько мы сэномим от повышения эффектиновности сотрудников</t>
  </si>
  <si>
    <t>В 3 месяцах примерно 66 рабочих дней (22 дня × 3).
Вы сэкономили 4 дня → новая длительность = 62 дня.
Прирост эффективности = (66 / 62 − 1) × 100% = ≈ 6,45%.</t>
  </si>
  <si>
    <t>Снижение расходов на привлечение нового сотрудника после проведения чемпионата</t>
  </si>
  <si>
    <t>Эффект от качественного использования ИИ в работе участников за один месяц</t>
  </si>
  <si>
    <r>
      <rPr>
        <rFont val="Arial"/>
        <i/>
        <sz val="8.0"/>
      </rPr>
      <t xml:space="preserve">Согласно Linkedin, в среднем компании с более сильным брендом работодателя экономят на поиск и привлечение кандидатов до 43%: </t>
    </r>
    <r>
      <rPr>
        <rFont val="Arial"/>
        <i/>
        <color rgb="FF1155CC"/>
        <sz val="8.0"/>
        <u/>
      </rPr>
      <t>https://hrmessenger.com/pochemu_hr_dolzhen_dumat_kak_marketolog</t>
    </r>
    <r>
      <rPr>
        <rFont val="Arial"/>
        <i/>
        <sz val="8.0"/>
      </rPr>
      <t xml:space="preserve"> . Для консервативного сценария мы снижаем эту цифру в 3 раза. </t>
    </r>
  </si>
  <si>
    <t>Количество сотрудников в компании (релевантных профилю)</t>
  </si>
  <si>
    <t>Коэффициент дополнительных затрат на стажера для компании с учетом всех расходов (офис, компьютер, налоги и прочее)</t>
  </si>
  <si>
    <t xml:space="preserve">Итоговый экономический эффект от проведения </t>
  </si>
  <si>
    <t>Итоговый экономический эффект от проведения Марафона Роста на 500 человек</t>
  </si>
  <si>
    <t>Объем найма стажеров в год (чел.)</t>
  </si>
  <si>
    <t xml:space="preserve">Экономический эффект от снижения расходов на привлечение новых кандидатов </t>
  </si>
  <si>
    <t>Эффект от R&amp;D или краудсорсинга на Марафоне Роста</t>
  </si>
  <si>
    <t>Эффект от поиска лидеров среди участников</t>
  </si>
  <si>
    <t>Экономический эффект от снижения текучки среди участников кейс-чемпионата</t>
  </si>
  <si>
    <t>Годовая текучесть до внедрения проекта</t>
  </si>
  <si>
    <t xml:space="preserve">Стоимость найма через Changellenge </t>
  </si>
  <si>
    <t>Средняя зарплата в компании</t>
  </si>
  <si>
    <t>EVP (разработка и активация)</t>
  </si>
  <si>
    <t>Коэффициент повышения эффективности сотрудника по итогу проекта</t>
  </si>
  <si>
    <t>Продолжительность дополнительной повышенной активности (месяцев)</t>
  </si>
  <si>
    <t>Экономический эффект от оценки сотрудников</t>
  </si>
  <si>
    <t>Процент текучасти</t>
  </si>
  <si>
    <t>Данные по текучасти прогнозируем по отрасли или узнаем у клиента</t>
  </si>
  <si>
    <t>Количество участников на очном (финальном) этапе</t>
  </si>
  <si>
    <t xml:space="preserve">Количество новых сотрудников в год </t>
  </si>
  <si>
    <t>Стоимость оценки 1 сотрудника на рынке</t>
  </si>
  <si>
    <t>Это рыночный показатель средней стоимости оценки</t>
  </si>
  <si>
    <t>Эффект от оценки сотрудников</t>
  </si>
  <si>
    <t>количество сотрудников * на текучку</t>
  </si>
  <si>
    <t>Расходы на ФОТ новых сотрудников (без учета налогов и отчислений)</t>
  </si>
  <si>
    <t>Новая строчка, т.к. старые сотрудники уже учтены ниже и получается задвоение</t>
  </si>
  <si>
    <t>Количество зарегистрированных участников</t>
  </si>
  <si>
    <t>Переплата зарплаты из-за слабого HR-бренда 3%</t>
  </si>
  <si>
    <t>Конверсия в решение</t>
  </si>
  <si>
    <r>
      <rPr>
        <rFont val="Arial"/>
        <i/>
        <sz val="10.0"/>
      </rPr>
      <t>Исследование Wade Burgess, опубликованное в Harvard Business Review, говорит “Компании со слабым брендом работодателя переплачивают сотрудникам примерно 10% заработной платы” (</t>
    </r>
    <r>
      <rPr>
        <rFont val="Arial"/>
        <i/>
        <color rgb="FF1155CC"/>
        <sz val="10.0"/>
        <u/>
      </rPr>
      <t>https://hbr.org/2016/03/a-bad-reputation-costs-company-at-least-10-more-per-hire</t>
    </r>
    <r>
      <rPr>
        <rFont val="Arial"/>
        <i/>
        <sz val="10.0"/>
      </rPr>
      <t>). При этом мы берем консервативную оценку и понижаем цифру с 10% в три раза до 3%</t>
    </r>
  </si>
  <si>
    <t>Средняя стоимость часа работа человека на рынке аутсорса среднего уровня</t>
  </si>
  <si>
    <t>эта переплата возникает только при найме новых сотрудников.</t>
  </si>
  <si>
    <t>Дополнительные расходы на сотрудника (налог НДФЛ, соц взносы, 1 неделя больничного и т.д.)</t>
  </si>
  <si>
    <t>Итоговый экономический эффект от проведения внутреннего кейс-чемпионата на 1000 человек</t>
  </si>
  <si>
    <t>Экономический эффект от снижения текучки и от повышения эффективности сотрудника по итогу проекта</t>
  </si>
  <si>
    <t>13% - НДФЛ, 30% - соц. взносы, 1 неделя больничных в год (это 1/12/4 от зарплаты)</t>
  </si>
  <si>
    <t>Убрали отпуск т.к. он учтен в ЗП, изменили с 58 до 52</t>
  </si>
  <si>
    <t xml:space="preserve">Экономический эффект от снижения текучки </t>
  </si>
  <si>
    <t>Backlog</t>
  </si>
  <si>
    <t>Спецпроекты</t>
  </si>
  <si>
    <t>Экономический эффект от снижения расходов на маркетинг и повышения конверсии в найм у компаний с более сильным брендом работодателя</t>
  </si>
  <si>
    <t>Количество молодых HiPo сотрудников, что надо нанять в течение года</t>
  </si>
  <si>
    <t>Конкурс на место для найма 1 HiPo кандидата</t>
  </si>
  <si>
    <t>Количество заявок, что надо собрать в сумме</t>
  </si>
  <si>
    <t>Экономический эффект от пакетного предложения SHIFT + ENTER на примере Официального партнера</t>
  </si>
  <si>
    <t>Стоимость 2 промо-интеграций на площадке СЛ</t>
  </si>
  <si>
    <t>Средняя стоимость заявки на кадидата на рынке</t>
  </si>
  <si>
    <t>Это рыночный показатель средней стоимости заявки на качественного кандидата (без учета массового найма)</t>
  </si>
  <si>
    <t>Стоимость базы-данных проекта на 1000 человек</t>
  </si>
  <si>
    <r>
      <rPr>
        <rFont val="Arial"/>
        <i/>
        <color rgb="FF7622D7"/>
        <sz val="10.0"/>
      </rPr>
      <t xml:space="preserve">According to </t>
    </r>
    <r>
      <rPr>
        <rFont val="Arial"/>
        <i/>
        <color rgb="FF7622D7"/>
        <sz val="10.0"/>
        <u/>
      </rPr>
      <t>Gartner</t>
    </r>
    <r>
      <rPr>
        <rFont val="Arial"/>
        <i/>
        <color rgb="FF7622D7"/>
        <sz val="10.0"/>
      </rPr>
      <t>, companies with a strong EVP reduce annual employee turnover by over two-thirds (69%) and increase new hire commitments by nearly 30%. Мы берем консервативную оценку: 69% / 3 = 23%</t>
    </r>
  </si>
  <si>
    <t>Бюджет на сбор заявок для компаний со слабым EB</t>
  </si>
  <si>
    <t>Охват в 250 000 человек</t>
  </si>
  <si>
    <t>Повышение конверсии из просмотров сайта в регистрации после внедрения EB инструментов</t>
  </si>
  <si>
    <t>Стоимость разработки 3 задач для компании</t>
  </si>
  <si>
    <t>Снижение расходов на маркетинг</t>
  </si>
  <si>
    <t>Размещение 3 вакансий на сайте СЛ</t>
  </si>
  <si>
    <t>Стоимость 70 решений от участников</t>
  </si>
  <si>
    <t>Экономический эффект от потери эффективности новых сотрудников в первые месяцы, которых придется нанять в случае НЕ снижения текучки</t>
  </si>
  <si>
    <t>Средняя зарплата в компании после выплаты налогов</t>
  </si>
  <si>
    <t>Экономическая эффективность пакетного предложения</t>
  </si>
  <si>
    <t>Стоимость сотрудника с учетом доп расходов</t>
  </si>
  <si>
    <t>На сколько меньше людей нужно нанимать после создания EVP</t>
  </si>
  <si>
    <t>Количество месяцев, когда новый человек неэффективно работает</t>
  </si>
  <si>
    <t>Увеличили, как в 1-м</t>
  </si>
  <si>
    <t>Потеря эффективности работы этого человека в эти месяцы</t>
  </si>
  <si>
    <t>Экономический эффект от потери эффективности в первые месяцы</t>
  </si>
  <si>
    <t>Это рыночный показатель средней стоимости найма через рекрутинговое агентство (15-30%)</t>
  </si>
  <si>
    <t xml:space="preserve">увеличили с 20 до 30%, а % до 22, среднее между </t>
  </si>
  <si>
    <t xml:space="preserve">Экономический эффективность от проведения чемпионата вместо обычного корпоратива с целью повышения вовлеченности </t>
  </si>
  <si>
    <r>
      <rPr>
        <rFont val="Arial"/>
        <i/>
        <sz val="8.0"/>
      </rPr>
      <t>Исследование Wade Burgess, опубликованное в Harvard Business Review, говорит “Компании со слабым брендом работодателя переплачивают сотрудникам примерно 10% заработной платы” (</t>
    </r>
    <r>
      <rPr>
        <rFont val="Arial"/>
        <i/>
        <color rgb="FF1155CC"/>
        <sz val="8.0"/>
        <u/>
      </rPr>
      <t>https://hbr.org/2016/03/a-bad-reputation-costs-company-at-least-10-more-per-hire</t>
    </r>
    <r>
      <rPr>
        <rFont val="Arial"/>
        <i/>
        <sz val="8.0"/>
      </rPr>
      <t>). При этом мы берем консервативную оценку и понижаем цифру с 10% в три раза до 3%</t>
    </r>
  </si>
  <si>
    <t>Примерный бюджет на корпоратив на человека</t>
  </si>
  <si>
    <t>Примерный бюджет на корпоратив итого</t>
  </si>
  <si>
    <t>Экономия бюджета на повышение вовлеченности</t>
  </si>
  <si>
    <t>Поменяла</t>
  </si>
  <si>
    <t>Подняли до 22</t>
  </si>
  <si>
    <r>
      <rPr>
        <rFont val="Arial"/>
        <i/>
        <color rgb="FF7622D7"/>
        <sz val="8.0"/>
      </rPr>
      <t xml:space="preserve">According to </t>
    </r>
    <r>
      <rPr>
        <rFont val="Arial"/>
        <i/>
        <color rgb="FF7622D7"/>
        <sz val="8.0"/>
        <u/>
      </rPr>
      <t>Gartner</t>
    </r>
    <r>
      <rPr>
        <rFont val="Arial"/>
        <i/>
        <color rgb="FF7622D7"/>
        <sz val="8.0"/>
      </rPr>
      <t>, companies with a strong EVP reduce annual employee turnover by over two-thirds (69%) and increase new hire commitments by nearly 30%. Мы берем консервативную оценку: 69% / 3 = 23%</t>
    </r>
  </si>
  <si>
    <r>
      <rPr>
        <rFont val="Arial"/>
        <i/>
        <sz val="10.0"/>
      </rPr>
      <t xml:space="preserve">Согласно Linkedin, в среднем компании с более сильным брендом работодателя экономят на поиск и привлечение кандидатов до 43%: </t>
    </r>
    <r>
      <rPr>
        <rFont val="Arial"/>
        <i/>
        <color rgb="FF1155CC"/>
        <sz val="10.0"/>
        <u/>
      </rPr>
      <t xml:space="preserve">https://hrmessenger.com/pochemu_hr_dolzhen_dumat_kak_marketolog. Для консервативного сценария мы снижаем эту цифру в 3 раза. </t>
    </r>
  </si>
  <si>
    <t>ДОПОЛНИТЕЛЬНО! Эффект от создания EVP</t>
  </si>
  <si>
    <t xml:space="preserve">Средняя зарплата в компании </t>
  </si>
  <si>
    <t>Полная стоимость сотрудника для компании (с налогами и отчислениями)</t>
  </si>
  <si>
    <t>Формула: ЗП в год × 1,52 (13% НДФЛ + 30% соц. взносы + больничные)</t>
  </si>
  <si>
    <t>Годовая текучесть (= количество кадровых решений о найме в год)</t>
  </si>
  <si>
    <t>Средняя тякучасьт в компании взята довольно низкая. В зависимости от компании цифра может меняться</t>
  </si>
  <si>
    <t>Стоимость одной кадровой ошибки (найм не по fit / неверно откалиброванная мотивация), % от годовой стоимости сотрудника</t>
  </si>
  <si>
    <t>SHRM (Society for Human Resource Management) и данные US Bureau of Labor Statistics 2024: прямые издержки «плохого найма» — 30–50% первого года зарплаты; с учётом косвенных потерь (простой, срыв командной работы) — 200–300%. Источник: certifiedsource.com, «The True Cost of a Bad Hire in Manufacturing: 2026 Analysis» (22.01.2026, на данных BLS 2024, McKinsey Global Institute, SHRM, NAM, Deloitte). Берём НИЖНЮЮ границу диапазона (30%), без косвенных потерь — консервативно.</t>
  </si>
  <si>
    <t>Стоимость одной кадровой ошибки, руб.</t>
  </si>
  <si>
    <r>
      <rPr>
        <rFont val="Arial"/>
        <i/>
        <sz val="8.0"/>
      </rPr>
      <t xml:space="preserve">Согласно Linkedin, в среднем компании с более сильным брендом работодателя экономят на поиск и привлечение кандидатов до 43%: </t>
    </r>
    <r>
      <rPr>
        <rFont val="Arial"/>
        <i/>
        <color rgb="FF1155CC"/>
        <sz val="8.0"/>
        <u/>
      </rPr>
      <t xml:space="preserve">https://hrmessenger.com/pochemu_hr_dolzhen_dumat_kak_marketolog. Для консервативного сценария мы снижаем эту цифру в 3 раза. </t>
    </r>
  </si>
  <si>
    <t xml:space="preserve">Снижение вероятности кадровой ошибки благодаря исследованию целевой аудитории </t>
  </si>
  <si>
    <t>Консервативная экспертная оценка на основе: (1) мета-анализ связи Person-Job / Person-Organization Fit с намерением уволиться — значимая обратная корреляция r = −0,31…−0,35 (метаанализ, апрель 2025, ResearchGate); (2) Gallup Business Journal: наём и управление с учётом индивидуальных сильных сторон и реальных ожиданий сотрудников снижает текучесть на 20–40% (классическое исследование Gallup). Берём нижнюю границу диапазона Gallup (20%) и снижаем ещё в 2 раза, так как на этапе СОЗДАНИЯ (без изменения процесса найма/адаптации/мотивации — без Этапа 4 и оргвнедрения) реализуется лишь часть эффекта: рекрутеры и руководители используют выводы исследования в уже идущих решениях, но системного внедрения (скоринг по fit, новые критерии отбора, программы адаптации) ещё нет.</t>
  </si>
  <si>
    <t>Экономический эффект от создания EVP</t>
  </si>
  <si>
    <t xml:space="preserve">Итоговый экономический эффект  </t>
  </si>
  <si>
    <t>понижающий коэффициент для активации, который уменьшает рассчитанный экономический эффект, чтобы сделать модель более реалистичной</t>
  </si>
  <si>
    <t>Изменили, 1/4</t>
  </si>
  <si>
    <t xml:space="preserve">Примерные затраты на активацию EVP </t>
  </si>
  <si>
    <t>Challenges</t>
  </si>
  <si>
    <t>Сертификация</t>
  </si>
  <si>
    <t>Прирост конверсии «просмотр → отклик» от бейджа</t>
  </si>
  <si>
    <t>По данным Great Place to Work  бейдж увеличивает количество откликов на 20%. Для более консервативного сценария мы берем цифру в 3 раза меньше.</t>
  </si>
  <si>
    <t>Экономический эффект от расхолов на найм</t>
  </si>
  <si>
    <t>Эффект от роста эффективности бюджета бренд-коммуникаций / снижения кадровых ошибок</t>
  </si>
  <si>
    <t>Процент текучки в компании</t>
  </si>
  <si>
    <t>Показатель текучасти взят средний по рынку-15%. В зависимости от компании цифра может меняться</t>
  </si>
  <si>
    <t>Конверсия их охвата в найм</t>
  </si>
  <si>
    <t>Экономический эффект от снижения ошибок</t>
  </si>
  <si>
    <t>Эффект от эффективного использования бенефитов для сотрудников</t>
  </si>
  <si>
    <t>Средняя з/п в компании</t>
  </si>
  <si>
    <t>по открытым данным</t>
  </si>
  <si>
    <t>Затраты на ФОТ в компании</t>
  </si>
  <si>
    <t>Затраты на бенефиты в компании</t>
  </si>
  <si>
    <t xml:space="preserve">экспертное мнение от Europlast в статье «Привычная награда» (Коммерсантъ СПб, 17.12.2019 "в крупных фирмах затраты на бенефиты составляют около 10% к ФОТ" </t>
  </si>
  <si>
    <t>Повышение эффективсноти использования бюджета на бенефиты</t>
  </si>
  <si>
    <t>Согласно GPTW, на 10% повышается эффективность инвестиций в бренд за счет фокуса на атрибутах, которые реально ценит ваша целевая аудитория. Для консервативного сценария берем значение в 3 раза меньше - 3,3%</t>
  </si>
  <si>
    <t>Экономия на снижение текучки</t>
  </si>
  <si>
    <t>По статистике GPTW, в сертифицированных компаниях уровень увольнений ниже, чем в среднем по рынку на 39%. Для более консервативного расчета мы берем цифру в 3 раза меньше - 13%</t>
  </si>
  <si>
    <t>Итоговый экономический эффект от Сертификации</t>
  </si>
  <si>
    <t>Стоимость проекта от Changellenge &gt;&gt; (Оптимальный пакет)</t>
  </si>
  <si>
    <t>в т.ч. внутренние расходы клиента (время сотрудников)</t>
  </si>
  <si>
    <t>ФОТ на команду работы с молодежью 
 +(0,2 ФТЕ менеджера и 0,5 ФТЕ мидла/джуна работающего и отвечающего за проект+время сотрудников на прохождение опроса) + налоги 60%</t>
  </si>
  <si>
    <t>Cost-effectiveness of investments in employer brand due to the possibility of not overpaying employees up to 10%</t>
  </si>
  <si>
    <t xml:space="preserve">Main source of research - a study by Wade Burgess published in the Harvard Business Review says "Companies with a weak employer brand overpay their employees about 10% of their wages" (https://hbr.org/2016/03/a-bad-reputation-costs-company-at-least-10-more-per-hire). </t>
  </si>
  <si>
    <t>Average salary in the company after taxes, per month</t>
  </si>
  <si>
    <t xml:space="preserve">Average salary in the company after taxes, per year
</t>
  </si>
  <si>
    <t xml:space="preserve">Total headcount in the company
</t>
  </si>
  <si>
    <t xml:space="preserve">Payroll expenses (excluding taxes)
</t>
  </si>
  <si>
    <t xml:space="preserve">Expenses for exceeding salary by an average of 3%
</t>
  </si>
  <si>
    <r>
      <rPr>
        <rFont val="Arial"/>
        <i val="0"/>
        <color theme="1"/>
        <sz val="8.0"/>
      </rPr>
      <t xml:space="preserve">A study by Wade Burgess published in the Harvard Business Review says "Companies with a weak employer brand overpay their employees about 10% of their wages" (https://hbr.org/2016/03/a-bad-reputation-costs-company-at-least-10-more-per-hire). That said, we take a conservative estimate and reduce the figure from 10% by a factor of three to 3% 
</t>
    </r>
  </si>
  <si>
    <t xml:space="preserve">Additional expenses per employee 
(total cost of taxes, holidays, sick leave and other)
</t>
  </si>
  <si>
    <t xml:space="preserve">Economic effect per year: the amount of expenses for salary increase and additional expenses per employee
</t>
  </si>
  <si>
    <t>Economic impact of reducing turnover after creating an employer brand by 69%</t>
  </si>
  <si>
    <t xml:space="preserve">Main source of research - according to Gartner, companies with high EVPs reduce annual employee turnover by more than two-thirds (69%) </t>
  </si>
  <si>
    <t>Annual turnover rate before implementing employer branding project</t>
  </si>
  <si>
    <t xml:space="preserve">The extent of decreasing of turnover
</t>
  </si>
  <si>
    <t>According to Gartner, companies with high EVPs reduce annual employee turnover by more than two-thirds (69%) and increase hiring commitments by almost 30%. We take a conservative estimate: 69% / 3 = 23%</t>
  </si>
  <si>
    <t xml:space="preserve">Turnover rate after implementing employer branding project
</t>
  </si>
  <si>
    <t xml:space="preserve">How many fewer people to hire
</t>
  </si>
  <si>
    <t>Average salary in the company per month after taxes</t>
  </si>
  <si>
    <t xml:space="preserve">Cost of hiring a new employee, % of annual income
</t>
  </si>
  <si>
    <t>This is the market average for hiring through a recruitment agency (10-20%)</t>
  </si>
  <si>
    <t xml:space="preserve">The cost of hiring a new employee
</t>
  </si>
  <si>
    <t xml:space="preserve">Economic effect of reducing turnover after creating EVP
</t>
  </si>
  <si>
    <t>Economic impact of 43% less costs of recruiting new candidates following development of the employer brand</t>
  </si>
  <si>
    <t>Main source of research - according to Linkedin, on average companies with a stronger employer brand save up to 43% on sourcing and recruiting candidates</t>
  </si>
  <si>
    <t xml:space="preserve">Average salary in the company, after tax, per month
</t>
  </si>
  <si>
    <t xml:space="preserve">Average salary in the company, after tax, per year
</t>
  </si>
  <si>
    <t>Average % of annual salary that the agency will take for hiring</t>
  </si>
  <si>
    <t xml:space="preserve">This is the market average for hiring through a recruitment agency (10-20%)
</t>
  </si>
  <si>
    <t xml:space="preserve">Cost of hiring a new employee per year
</t>
  </si>
  <si>
    <t xml:space="preserve">Reduced cost of hiring a new employee after EVP implementation
</t>
  </si>
  <si>
    <t xml:space="preserve">According to Linkedin, on average companies with a stronger employer brand save up to 43% on sourcing and recruiting candidates:
For a conservative scenario, we reduce this figure by a factor of 3. 
</t>
  </si>
  <si>
    <t xml:space="preserve">Number of staff in the company
</t>
  </si>
  <si>
    <t xml:space="preserve">% of recruitment from the number of staff
</t>
  </si>
  <si>
    <t xml:space="preserve">Recruitment of mid-level staff per year (persons)
</t>
  </si>
  <si>
    <t xml:space="preserve">Economic impact of the reduced cost of recruiting new candidates after EVP implementation
</t>
  </si>
  <si>
    <r>
      <rPr>
        <rFont val="Arial"/>
        <i val="0"/>
        <color theme="1"/>
        <sz val="8.0"/>
      </rPr>
      <t xml:space="preserve">A study by Wade Burgess published in the Harvard Business Review says "Companies with a weak employer brand overpay their employees about 10% of their wages" (https://hbr.org/2016/03/a-bad-reputation-costs-company-at-least-10-more-per-hire). That said, we take a conservative estimate and reduce the figure from 10% by a factor of three to 3% 
</t>
    </r>
  </si>
  <si>
    <t>№</t>
  </si>
  <si>
    <t>Общие правила:</t>
  </si>
  <si>
    <t xml:space="preserve">Обязательно к каждому расчету снизу ставить источники, где подтверждаются данные. </t>
  </si>
  <si>
    <t>Экономический эффект желательно сделать так, чтобы он в 4-5 раз превышал стоимость наших работ.</t>
  </si>
  <si>
    <t>Источник информации желательно находить за последние 2 года</t>
  </si>
  <si>
    <t>Каждый показатель, который мы беерм из исследования, делим на 3, чтобы добавиться более консервативного сценария и вызвать доверие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</si>
</sst>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#,##0[$ ₽]"/>
    <numFmt numFmtId="165" formatCode="0.0%"/>
    <numFmt numFmtId="166" formatCode="#,##0.0[$ ₽]"/>
    <numFmt numFmtId="167" formatCode="[$р.-419]#,##0"/>
    <numFmt numFmtId="168" formatCode="_-* #,##0\ &quot;₽&quot;_-;\-* #,##0\ &quot;₽&quot;_-;_-* &quot;-&quot;??\ &quot;₽&quot;_-;_-@"/>
    <numFmt numFmtId="169" formatCode="#,##0.00[$ ₽]"/>
    <numFmt numFmtId="170" formatCode="[$р.-419]#,##0.00"/>
    <numFmt numFmtId="171" formatCode="#,##0&quot; ₽&quot;;\(#,##0&quot;) ₽&quot;;&quot;- ₽&quot;"/>
    <numFmt numFmtId="172" formatCode="[$$]#,##0"/>
  </numFmts>
  <fonts count="66">
    <font>
      <sz val="10.0"/>
      <color rgb="FF000000"/>
      <name val="Arial"/>
      <scheme val="minor"/>
    </font>
    <font>
      <b/>
      <color theme="1"/>
      <name val="Arial"/>
    </font>
    <font>
      <b/>
      <sz val="11.0"/>
      <color rgb="FF000000"/>
      <name val="Arial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color theme="1"/>
      <name val="Arial"/>
    </font>
    <font>
      <i/>
      <color theme="1"/>
      <name val="Arial"/>
    </font>
    <font>
      <b/>
      <sz val="12.0"/>
      <color theme="1"/>
      <name val="Arial"/>
      <scheme val="minor"/>
    </font>
    <font>
      <b/>
      <i/>
      <sz val="10.0"/>
      <color rgb="FF000000"/>
      <name val="Arial"/>
    </font>
    <font>
      <i/>
      <sz val="8.0"/>
      <color theme="1"/>
      <name val="Arial"/>
      <scheme val="minor"/>
    </font>
    <font>
      <b/>
      <sz val="11.0"/>
      <color rgb="FFFFFFFF"/>
      <name val="Arial"/>
    </font>
    <font>
      <sz val="10.0"/>
      <color theme="1"/>
      <name val="Arial"/>
    </font>
    <font>
      <b/>
      <i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u/>
      <sz val="11.0"/>
      <color theme="1"/>
      <name val="Arial"/>
    </font>
    <font>
      <u/>
      <sz val="11.0"/>
      <color theme="1"/>
      <name val="Arial"/>
    </font>
    <font>
      <u/>
      <color theme="1"/>
      <name val="Arial"/>
      <scheme val="minor"/>
    </font>
    <font>
      <u/>
      <sz val="11.0"/>
      <color rgb="FF0000FF"/>
      <name val="Calibri"/>
    </font>
    <font>
      <sz val="10.0"/>
      <color theme="1"/>
      <name val="Calibri"/>
    </font>
    <font>
      <i/>
      <sz val="8.0"/>
      <color rgb="FFFF0000"/>
      <name val="Arial"/>
      <scheme val="minor"/>
    </font>
    <font>
      <b/>
      <i/>
      <sz val="11.0"/>
      <color theme="1"/>
      <name val="Arial"/>
    </font>
    <font>
      <i/>
      <sz val="10.0"/>
      <color theme="1"/>
      <name val="Arial"/>
    </font>
    <font>
      <i/>
      <u/>
      <sz val="10.0"/>
      <color rgb="FF1155CC"/>
      <name val="Arial"/>
    </font>
    <font>
      <sz val="10.0"/>
      <color rgb="FF000000"/>
      <name val="Arial"/>
    </font>
    <font>
      <u/>
      <color rgb="FF0000FF"/>
    </font>
    <font>
      <b/>
      <sz val="10.0"/>
      <color rgb="FF000000"/>
      <name val="Arial"/>
    </font>
    <font>
      <i/>
      <sz val="10.0"/>
      <color rgb="FF000000"/>
      <name val="Arial"/>
    </font>
    <font>
      <i/>
      <u/>
      <sz val="10.0"/>
      <color rgb="FF0000FF"/>
      <name val="Arial"/>
    </font>
    <font>
      <i/>
      <u/>
      <sz val="8.0"/>
      <color rgb="FF0000FF"/>
      <name val="Arial"/>
    </font>
    <font>
      <b/>
      <sz val="11.0"/>
      <color rgb="FF274E13"/>
      <name val="Arial"/>
    </font>
    <font>
      <b/>
      <i/>
      <sz val="11.0"/>
      <color rgb="FF274E13"/>
      <name val="Arial"/>
    </font>
    <font>
      <color rgb="FF000000"/>
      <name val="Arial"/>
    </font>
    <font>
      <i/>
      <u/>
      <sz val="8.0"/>
      <color rgb="FF7622D7"/>
      <name val="Roobert"/>
    </font>
    <font>
      <sz val="11.0"/>
      <color rgb="FF000000"/>
      <name val="Arial"/>
    </font>
    <font>
      <i/>
      <sz val="8.0"/>
      <color rgb="FF7622D7"/>
      <name val="Roobert"/>
    </font>
    <font>
      <i/>
      <sz val="8.0"/>
      <color rgb="FF000000"/>
      <name val="Roobert"/>
    </font>
    <font>
      <b/>
      <color rgb="FF000000"/>
      <name val="Arial"/>
    </font>
    <font>
      <i/>
      <u/>
      <sz val="8.0"/>
      <color rgb="FF0000FF"/>
      <name val="Arial"/>
    </font>
    <font>
      <u/>
      <sz val="10.0"/>
      <color rgb="FF1155CC"/>
      <name val="Arial"/>
    </font>
    <font>
      <i/>
      <sz val="8.0"/>
      <color theme="1"/>
      <name val="Arial"/>
    </font>
    <font>
      <u/>
      <sz val="8.0"/>
      <color rgb="FF0000FF"/>
    </font>
    <font>
      <color rgb="FFFF0000"/>
      <name val="Arial"/>
      <scheme val="minor"/>
    </font>
    <font>
      <b/>
      <i/>
      <color theme="1"/>
      <name val="Arial"/>
      <scheme val="minor"/>
    </font>
    <font>
      <i/>
      <sz val="10.0"/>
      <color rgb="FFFF0000"/>
      <name val="Arial"/>
      <scheme val="minor"/>
    </font>
    <font>
      <i/>
      <u/>
      <sz val="10.0"/>
      <color rgb="FF1155CC"/>
      <name val="Arial"/>
    </font>
    <font>
      <i/>
      <u/>
      <sz val="8.0"/>
      <color rgb="FF0000FF"/>
    </font>
    <font>
      <i/>
      <u/>
      <sz val="8.0"/>
      <color rgb="FF0000FF"/>
    </font>
    <font>
      <i/>
      <u/>
      <sz val="10.0"/>
      <color rgb="FF0000FF"/>
      <name val="Arial"/>
    </font>
    <font>
      <i/>
      <color theme="1"/>
      <name val="Arial"/>
      <scheme val="minor"/>
    </font>
    <font>
      <b/>
      <color rgb="FF980000"/>
      <name val="Arial"/>
    </font>
    <font>
      <b/>
      <color rgb="FF351C75"/>
      <name val="Arial"/>
    </font>
    <font>
      <b/>
      <i/>
      <color rgb="FF980000"/>
      <name val="Arial"/>
      <scheme val="minor"/>
    </font>
    <font>
      <sz val="8.0"/>
      <color theme="1"/>
      <name val="Arial"/>
      <scheme val="minor"/>
    </font>
    <font>
      <i/>
      <u/>
      <sz val="10.0"/>
      <color rgb="FF7622D7"/>
      <name val="Arial"/>
    </font>
    <font>
      <i/>
      <sz val="10.0"/>
      <color rgb="FF7622D7"/>
      <name val="Arial"/>
    </font>
    <font>
      <i/>
      <u/>
      <sz val="10.0"/>
      <color rgb="FF0000FF"/>
      <name val="Arial"/>
    </font>
    <font>
      <b/>
      <color rgb="FFE69138"/>
      <name val="Arial"/>
    </font>
    <font>
      <sz val="10.0"/>
      <color rgb="FF1155CC"/>
      <name val="Arial"/>
    </font>
    <font>
      <u/>
      <sz val="10.0"/>
      <color rgb="FF0000FF"/>
      <name val="Arial"/>
    </font>
    <font>
      <i/>
      <u/>
      <sz val="10.0"/>
      <color rgb="FF0000FF"/>
      <name val="Arial"/>
    </font>
    <font>
      <sz val="11.0"/>
      <color theme="1"/>
      <name val="Calibri"/>
    </font>
    <font>
      <i/>
      <u/>
      <sz val="10.0"/>
      <color rgb="FF0000FF"/>
      <name val="Arial"/>
    </font>
    <font>
      <color rgb="FF008000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38761D"/>
        <bgColor rgb="FF38761D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000000"/>
        <bgColor rgb="FF000000"/>
      </patternFill>
    </fill>
    <fill>
      <patternFill patternType="solid">
        <fgColor rgb="FF674EA7"/>
        <bgColor rgb="FF674EA7"/>
      </patternFill>
    </fill>
    <fill>
      <patternFill patternType="solid">
        <fgColor rgb="FFF4CCCC"/>
        <bgColor rgb="FFF4CCCC"/>
      </patternFill>
    </fill>
    <fill>
      <patternFill patternType="solid">
        <fgColor rgb="FFF1C232"/>
        <bgColor rgb="FFF1C232"/>
      </patternFill>
    </fill>
    <fill>
      <patternFill patternType="solid">
        <fgColor rgb="FFF6B26B"/>
        <bgColor rgb="FFF6B26B"/>
      </patternFill>
    </fill>
    <fill>
      <patternFill patternType="solid">
        <fgColor rgb="FFB7B7B7"/>
        <bgColor rgb="FFB7B7B7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2" fontId="2" numFmtId="0" xfId="0" applyAlignment="1" applyFill="1" applyFont="1">
      <alignment readingOrder="0" shrinkToFit="0" wrapText="0"/>
    </xf>
    <xf borderId="0" fillId="0" fontId="3" numFmtId="0" xfId="0" applyAlignment="1" applyFont="1">
      <alignment readingOrder="0" vertical="center"/>
    </xf>
    <xf borderId="0" fillId="2" fontId="1" numFmtId="0" xfId="0" applyAlignment="1" applyFill="1" applyFont="1">
      <alignment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vertical="center"/>
    </xf>
    <xf borderId="0" fillId="3" fontId="7" numFmtId="0" xfId="0" applyAlignment="1" applyFill="1" applyFont="1">
      <alignment readingOrder="0" shrinkToFit="0" vertical="center" wrapText="1"/>
    </xf>
    <xf borderId="0" fillId="4" fontId="8" numFmtId="0" xfId="0" applyAlignment="1" applyFill="1" applyFont="1">
      <alignment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3" fontId="2" numFmtId="0" xfId="0" applyAlignment="1" applyFill="1" applyFont="1">
      <alignment horizontal="left" readingOrder="0" shrinkToFit="0" vertical="center" wrapText="1"/>
    </xf>
    <xf borderId="0" fillId="5" fontId="10" numFmtId="0" xfId="0" applyAlignment="1" applyFill="1" applyFont="1">
      <alignment horizontal="left" readingOrder="0" shrinkToFit="0" vertical="center" wrapText="1"/>
    </xf>
    <xf borderId="0" fillId="0" fontId="7" numFmtId="164" xfId="0" applyAlignment="1" applyFont="1" applyNumberFormat="1">
      <alignment horizontal="right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6" fontId="12" numFmtId="0" xfId="0" applyAlignment="1" applyFill="1" applyFont="1">
      <alignment shrinkToFit="0" wrapText="1"/>
    </xf>
    <xf borderId="0" fillId="0" fontId="7" numFmtId="0" xfId="0" applyAlignment="1" applyFont="1">
      <alignment horizontal="right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164" xfId="0" applyFont="1" applyNumberFormat="1"/>
    <xf borderId="0" fillId="0" fontId="7" numFmtId="0" xfId="0" applyAlignment="1" applyFont="1">
      <alignment horizontal="right" readingOrder="0" shrinkToFit="0" vertical="center" wrapText="1"/>
    </xf>
    <xf borderId="0" fillId="0" fontId="13" numFmtId="0" xfId="0" applyAlignment="1" applyFont="1">
      <alignment horizontal="left" shrinkToFit="0" wrapText="1"/>
    </xf>
    <xf borderId="0" fillId="0" fontId="7" numFmtId="0" xfId="0" applyFont="1"/>
    <xf borderId="0" fillId="5" fontId="14" numFmtId="0" xfId="0" applyAlignment="1" applyFill="1" applyFont="1">
      <alignment shrinkToFit="0" wrapText="1"/>
    </xf>
    <xf borderId="0" fillId="0" fontId="6" numFmtId="0" xfId="0" applyAlignment="1" applyFont="1">
      <alignment readingOrder="0"/>
    </xf>
    <xf borderId="0" fillId="0" fontId="11" numFmtId="0" xfId="0" applyAlignment="1" applyFont="1">
      <alignment horizontal="center" readingOrder="0" shrinkToFit="0" vertical="center" wrapText="1"/>
    </xf>
    <xf borderId="0" fillId="0" fontId="7" numFmtId="3" xfId="0" applyFont="1" applyNumberFormat="1"/>
    <xf borderId="0" fillId="4" fontId="14" numFmtId="0" xfId="0" applyAlignment="1" applyFill="1" applyFont="1">
      <alignment shrinkToFit="0" vertical="bottom" wrapText="1"/>
    </xf>
    <xf borderId="0" fillId="0" fontId="7" numFmtId="3" xfId="0" applyAlignment="1" applyFont="1" applyNumberFormat="1">
      <alignment vertical="bottom"/>
    </xf>
    <xf borderId="0" fillId="0" fontId="13" numFmtId="0" xfId="0" applyAlignment="1" applyFont="1">
      <alignment horizontal="left" shrinkToFit="0" vertical="bottom" wrapText="1"/>
    </xf>
    <xf borderId="1" fillId="0" fontId="13" numFmtId="0" xfId="0" applyAlignment="1" applyBorder="1" applyFont="1">
      <alignment shrinkToFit="0" vertical="bottom" wrapText="1"/>
    </xf>
    <xf borderId="0" fillId="0" fontId="15" numFmtId="0" xfId="0" applyAlignment="1" applyFont="1">
      <alignment shrinkToFit="0" vertical="bottom" wrapText="1"/>
    </xf>
    <xf borderId="0" fillId="0" fontId="7" numFmtId="9" xfId="0" applyAlignment="1" applyFont="1" applyNumberFormat="1">
      <alignment horizontal="right" readingOrder="0" shrinkToFit="0" vertical="center" wrapText="1"/>
    </xf>
    <xf borderId="0" fillId="2" fontId="15" numFmtId="1" xfId="0" applyAlignment="1" applyFill="1" applyFont="1" applyNumberFormat="1">
      <alignment horizontal="center" shrinkToFit="0" vertical="bottom" wrapText="1"/>
    </xf>
    <xf borderId="1" fillId="0" fontId="13" numFmtId="1" xfId="0" applyAlignment="1" applyBorder="1" applyFont="1" applyNumberFormat="1">
      <alignment horizontal="center" shrinkToFit="0" vertical="bottom" wrapText="1"/>
    </xf>
    <xf borderId="0" fillId="0" fontId="13" numFmtId="0" xfId="0" applyAlignment="1" applyFont="1">
      <alignment vertical="bottom"/>
    </xf>
    <xf borderId="0" fillId="0" fontId="7" numFmtId="0" xfId="0" applyAlignment="1" applyFont="1">
      <alignment shrinkToFit="0" vertical="bottom" wrapText="1"/>
    </xf>
    <xf borderId="0" fillId="0" fontId="16" numFmtId="0" xfId="0" applyAlignment="1" applyFont="1">
      <alignment shrinkToFit="0" vertical="bottom" wrapText="1"/>
    </xf>
    <xf borderId="0" fillId="0" fontId="17" numFmtId="10" xfId="0" applyAlignment="1" applyFont="1" applyNumberFormat="1">
      <alignment horizontal="center" shrinkToFit="0" vertical="bottom" wrapText="1"/>
    </xf>
    <xf borderId="0" fillId="2" fontId="15" numFmtId="3" xfId="0" applyAlignment="1" applyFill="1" applyFont="1" applyNumberFormat="1">
      <alignment horizontal="center" shrinkToFit="0" vertical="bottom" wrapText="1"/>
    </xf>
    <xf borderId="1" fillId="0" fontId="18" numFmtId="165" xfId="0" applyAlignment="1" applyBorder="1" applyFont="1" applyNumberFormat="1">
      <alignment horizontal="center" shrinkToFit="0" vertical="center" wrapText="1"/>
    </xf>
    <xf borderId="0" fillId="0" fontId="7" numFmtId="9" xfId="0" applyAlignment="1" applyFont="1" applyNumberFormat="1">
      <alignment horizontal="right" shrinkToFit="0" vertical="bottom" wrapText="1"/>
    </xf>
    <xf borderId="0" fillId="0" fontId="7" numFmtId="0" xfId="0" applyAlignment="1" applyFont="1">
      <alignment shrinkToFit="0" vertical="bottom" wrapText="1"/>
    </xf>
    <xf borderId="0" fillId="0" fontId="7" numFmtId="0" xfId="0" applyFont="1"/>
    <xf borderId="0" fillId="0" fontId="7" numFmtId="3" xfId="0" applyAlignment="1" applyFont="1" applyNumberFormat="1">
      <alignment horizontal="right" readingOrder="0" shrinkToFit="0" vertical="center" wrapText="1"/>
    </xf>
    <xf borderId="0" fillId="0" fontId="19" numFmtId="0" xfId="0" applyAlignment="1" applyFont="1">
      <alignment readingOrder="0"/>
    </xf>
    <xf borderId="0" fillId="0" fontId="16" numFmtId="3" xfId="0" applyAlignment="1" applyFont="1" applyNumberFormat="1">
      <alignment horizontal="center" shrinkToFit="0" vertical="bottom" wrapText="1"/>
    </xf>
    <xf borderId="0" fillId="0" fontId="20" numFmtId="0" xfId="0" applyAlignment="1" applyFont="1">
      <alignment shrinkToFit="0" vertical="bottom" wrapText="1"/>
    </xf>
    <xf borderId="1" fillId="0" fontId="13" numFmtId="3" xfId="0" applyAlignment="1" applyBorder="1" applyFont="1" applyNumberFormat="1">
      <alignment horizontal="center" shrinkToFit="0" vertical="bottom" wrapText="1"/>
    </xf>
    <xf borderId="0" fillId="0" fontId="1" numFmtId="164" xfId="0" applyAlignment="1" applyFont="1" applyNumberFormat="1">
      <alignment horizontal="right" readingOrder="0" shrinkToFit="0" vertical="center" wrapText="1"/>
    </xf>
    <xf borderId="0" fillId="0" fontId="21" numFmtId="0" xfId="0" applyAlignment="1" applyFont="1">
      <alignment shrinkToFit="0" vertical="bottom" wrapText="1"/>
    </xf>
    <xf borderId="0" fillId="0" fontId="15" numFmtId="3" xfId="0" applyAlignment="1" applyFont="1" applyNumberFormat="1">
      <alignment horizontal="center" shrinkToFit="0" vertical="bottom" wrapText="1"/>
    </xf>
    <xf borderId="0" fillId="0" fontId="22" numFmtId="0" xfId="0" applyAlignment="1" applyFont="1">
      <alignment horizontal="center" readingOrder="0" shrinkToFit="0" vertical="center" wrapText="1"/>
    </xf>
    <xf borderId="0" fillId="4" fontId="23" numFmtId="0" xfId="0" applyAlignment="1" applyFill="1" applyFont="1">
      <alignment shrinkToFit="0" vertical="bottom" wrapText="1"/>
    </xf>
    <xf borderId="0" fillId="0" fontId="7" numFmtId="10" xfId="0" applyAlignment="1" applyFont="1" applyNumberFormat="1">
      <alignment vertical="bottom"/>
    </xf>
    <xf borderId="0" fillId="0" fontId="16" numFmtId="164" xfId="0" applyAlignment="1" applyFont="1" applyNumberFormat="1">
      <alignment horizontal="right" shrinkToFit="0" vertical="bottom" wrapText="1"/>
    </xf>
    <xf borderId="0" fillId="0" fontId="16" numFmtId="9" xfId="0" applyAlignment="1" applyFont="1" applyNumberFormat="1">
      <alignment horizontal="right" vertical="bottom"/>
    </xf>
    <xf borderId="0" fillId="0" fontId="24" numFmtId="0" xfId="0" applyAlignment="1" applyFont="1">
      <alignment horizontal="left" shrinkToFit="0" vertical="bottom" wrapText="1"/>
    </xf>
    <xf borderId="0" fillId="0" fontId="16" numFmtId="164" xfId="0" applyAlignment="1" applyFont="1" applyNumberFormat="1">
      <alignment horizontal="right" vertical="bottom"/>
    </xf>
    <xf borderId="0" fillId="0" fontId="6" numFmtId="0" xfId="0" applyFont="1"/>
    <xf borderId="0" fillId="0" fontId="25" numFmtId="0" xfId="0" applyAlignment="1" applyFont="1">
      <alignment horizontal="left" shrinkToFit="0" vertical="bottom" wrapText="1"/>
    </xf>
    <xf borderId="0" fillId="7" fontId="1" numFmtId="0" xfId="0" applyAlignment="1" applyFill="1" applyFont="1">
      <alignment readingOrder="0" shrinkToFit="0" vertical="center" wrapText="1"/>
    </xf>
    <xf borderId="0" fillId="7" fontId="1" numFmtId="164" xfId="0" applyAlignment="1" applyFill="1" applyFont="1" applyNumberFormat="1">
      <alignment horizontal="right" readingOrder="0" shrinkToFit="0" vertical="center" wrapText="1"/>
    </xf>
    <xf borderId="0" fillId="7" fontId="11" numFmtId="0" xfId="0" applyAlignment="1" applyFill="1" applyFont="1">
      <alignment horizontal="center" shrinkToFit="0" vertical="center" wrapText="1"/>
    </xf>
    <xf borderId="0" fillId="0" fontId="7" numFmtId="166" xfId="0" applyAlignment="1" applyFont="1" applyNumberFormat="1">
      <alignment horizontal="right" readingOrder="0" shrinkToFit="0" vertical="center" wrapText="1"/>
    </xf>
    <xf borderId="0" fillId="0" fontId="16" numFmtId="3" xfId="0" applyAlignment="1" applyFont="1" applyNumberFormat="1">
      <alignment horizontal="right" vertical="bottom"/>
    </xf>
    <xf borderId="0" fillId="0" fontId="23" numFmtId="0" xfId="0" applyAlignment="1" applyFont="1">
      <alignment shrinkToFit="0" vertical="bottom" wrapText="1"/>
    </xf>
    <xf borderId="0" fillId="0" fontId="15" numFmtId="164" xfId="0" applyAlignment="1" applyFont="1" applyNumberFormat="1">
      <alignment horizontal="right" vertical="bottom"/>
    </xf>
    <xf borderId="1" fillId="0" fontId="26" numFmtId="0" xfId="0" applyAlignment="1" applyBorder="1" applyFont="1">
      <alignment shrinkToFit="0" vertical="bottom" wrapText="1"/>
    </xf>
    <xf borderId="0" fillId="2" fontId="21" numFmtId="0" xfId="0" applyAlignment="1" applyFill="1" applyFont="1">
      <alignment shrinkToFit="0" vertical="bottom" wrapText="1"/>
    </xf>
    <xf borderId="0" fillId="8" fontId="10" numFmtId="0" xfId="0" applyAlignment="1" applyFill="1" applyFont="1">
      <alignment horizontal="left" readingOrder="0" shrinkToFit="0" vertical="center" wrapText="1"/>
    </xf>
    <xf borderId="1" fillId="0" fontId="7" numFmtId="0" xfId="0" applyAlignment="1" applyBorder="1" applyFont="1">
      <alignment vertical="bottom"/>
    </xf>
    <xf borderId="0" fillId="0" fontId="7" numFmtId="9" xfId="0" applyAlignment="1" applyFont="1" applyNumberFormat="1">
      <alignment vertical="bottom"/>
    </xf>
    <xf borderId="0" fillId="0" fontId="1" numFmtId="166" xfId="0" applyAlignment="1" applyFont="1" applyNumberFormat="1">
      <alignment horizontal="right" readingOrder="0" shrinkToFit="0" vertical="center" wrapText="1"/>
    </xf>
    <xf borderId="1" fillId="0" fontId="15" numFmtId="0" xfId="0" applyAlignment="1" applyBorder="1" applyFont="1">
      <alignment shrinkToFit="0" wrapText="1"/>
    </xf>
    <xf borderId="0" fillId="0" fontId="6" numFmtId="0" xfId="0" applyAlignment="1" applyFont="1">
      <alignment shrinkToFit="0" vertical="center" wrapText="1"/>
    </xf>
    <xf borderId="0" fillId="0" fontId="26" numFmtId="0" xfId="0" applyAlignment="1" applyFont="1">
      <alignment horizontal="left" readingOrder="0" shrinkToFit="0" vertical="center" wrapText="1"/>
    </xf>
    <xf borderId="0" fillId="0" fontId="15" numFmtId="10" xfId="0" applyAlignment="1" applyFont="1" applyNumberFormat="1">
      <alignment horizontal="center" shrinkToFit="0" wrapText="1"/>
    </xf>
    <xf borderId="0" fillId="0" fontId="7" numFmtId="0" xfId="0" applyAlignment="1" applyFont="1">
      <alignment shrinkToFit="0" wrapText="1"/>
    </xf>
    <xf borderId="0" fillId="0" fontId="16" numFmtId="9" xfId="0" applyAlignment="1" applyFont="1" applyNumberFormat="1">
      <alignment horizontal="right" shrinkToFit="0" vertical="bottom" wrapText="1"/>
    </xf>
    <xf borderId="0" fillId="5" fontId="14" numFmtId="0" xfId="0" applyAlignment="1" applyFill="1" applyFont="1">
      <alignment readingOrder="0" shrinkToFit="0" wrapText="1"/>
    </xf>
    <xf borderId="0" fillId="0" fontId="27" numFmtId="0" xfId="0" applyAlignment="1" applyFont="1">
      <alignment readingOrder="0" vertical="center"/>
    </xf>
    <xf borderId="0" fillId="0" fontId="1" numFmtId="0" xfId="0" applyAlignment="1" applyFont="1">
      <alignment shrinkToFit="0" wrapText="1"/>
    </xf>
    <xf borderId="0" fillId="0" fontId="7" numFmtId="164" xfId="0" applyAlignment="1" applyFont="1" applyNumberFormat="1">
      <alignment horizontal="right" readingOrder="0" shrinkToFit="0" wrapText="1"/>
    </xf>
    <xf borderId="0" fillId="0" fontId="7" numFmtId="0" xfId="0" applyAlignment="1" applyFont="1">
      <alignment shrinkToFit="0" wrapText="1"/>
    </xf>
    <xf borderId="0" fillId="0" fontId="28" numFmtId="0" xfId="0" applyAlignment="1" applyFont="1">
      <alignment horizontal="left" readingOrder="0" shrinkToFit="0" vertical="center" wrapText="1"/>
    </xf>
    <xf borderId="0" fillId="0" fontId="7" numFmtId="3" xfId="0" applyAlignment="1" applyFont="1" applyNumberFormat="1">
      <alignment horizontal="right" shrinkToFit="0" wrapText="1"/>
    </xf>
    <xf borderId="0" fillId="0" fontId="29" numFmtId="0" xfId="0" applyAlignment="1" applyFont="1">
      <alignment horizontal="left" readingOrder="0" shrinkToFit="0" vertical="bottom" wrapText="1"/>
    </xf>
    <xf borderId="0" fillId="0" fontId="7" numFmtId="3" xfId="0" applyAlignment="1" applyFont="1" applyNumberFormat="1">
      <alignment horizontal="right" readingOrder="0" shrinkToFit="0" wrapText="1"/>
    </xf>
    <xf borderId="0" fillId="0" fontId="6" numFmtId="0" xfId="0" applyAlignment="1" applyFont="1">
      <alignment readingOrder="0" shrinkToFit="0" wrapText="1"/>
    </xf>
    <xf borderId="0" fillId="2" fontId="15" numFmtId="3" xfId="0" applyAlignment="1" applyFill="1" applyFont="1" applyNumberFormat="1">
      <alignment horizontal="right" readingOrder="0" shrinkToFit="0" vertical="bottom" wrapText="1"/>
    </xf>
    <xf borderId="0" fillId="0" fontId="7" numFmtId="3" xfId="0" applyAlignment="1" applyFont="1" applyNumberFormat="1">
      <alignment horizontal="right" shrinkToFit="0" vertical="center" wrapText="1"/>
    </xf>
    <xf borderId="0" fillId="0" fontId="7" numFmtId="164" xfId="0" applyAlignment="1" applyFont="1" applyNumberFormat="1">
      <alignment horizontal="right" shrinkToFit="0" wrapText="1"/>
    </xf>
    <xf borderId="0" fillId="0" fontId="30" numFmtId="0" xfId="0" applyAlignment="1" applyFont="1">
      <alignment horizontal="left" shrinkToFit="0" vertical="bottom" wrapText="1"/>
    </xf>
    <xf borderId="0" fillId="0" fontId="7" numFmtId="9" xfId="0" applyAlignment="1" applyFont="1" applyNumberFormat="1">
      <alignment horizontal="right" shrinkToFit="0" vertical="center" wrapText="1"/>
    </xf>
    <xf borderId="0" fillId="0" fontId="16" numFmtId="3" xfId="0" applyAlignment="1" applyFont="1" applyNumberFormat="1">
      <alignment horizontal="right" shrinkToFit="0" vertical="bottom" wrapText="1"/>
    </xf>
    <xf borderId="0" fillId="0" fontId="31" numFmtId="0" xfId="0" applyAlignment="1" applyFont="1">
      <alignment horizontal="center" shrinkToFit="0" wrapText="1"/>
    </xf>
    <xf borderId="0" fillId="0" fontId="15" numFmtId="164" xfId="0" applyAlignment="1" applyFont="1" applyNumberFormat="1">
      <alignment horizontal="right" shrinkToFit="0" vertical="bottom" wrapText="1"/>
    </xf>
    <xf borderId="0" fillId="0" fontId="7" numFmtId="9" xfId="0" applyAlignment="1" applyFont="1" applyNumberFormat="1">
      <alignment horizontal="right" shrinkToFit="0" wrapText="1"/>
    </xf>
    <xf borderId="0" fillId="0" fontId="8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wrapText="1"/>
    </xf>
    <xf borderId="0" fillId="0" fontId="1" numFmtId="164" xfId="0" applyAlignment="1" applyFont="1" applyNumberFormat="1">
      <alignment horizontal="right" shrinkToFit="0" wrapText="1"/>
    </xf>
    <xf borderId="0" fillId="8" fontId="13" numFmtId="0" xfId="0" applyAlignment="1" applyFill="1" applyFont="1">
      <alignment horizontal="left" shrinkToFit="0" wrapText="1"/>
    </xf>
    <xf borderId="0" fillId="8" fontId="7" numFmtId="0" xfId="0" applyFill="1" applyFont="1"/>
    <xf borderId="0" fillId="0" fontId="1" numFmtId="0" xfId="0" applyAlignment="1" applyFont="1">
      <alignment shrinkToFit="0" vertical="center" wrapText="1"/>
    </xf>
    <xf borderId="0" fillId="0" fontId="1" numFmtId="3" xfId="0" applyAlignment="1" applyFont="1" applyNumberFormat="1">
      <alignment horizontal="right" readingOrder="0" shrinkToFit="0" wrapText="1"/>
    </xf>
    <xf borderId="0" fillId="0" fontId="32" numFmtId="0" xfId="0" applyAlignment="1" applyFont="1">
      <alignment horizontal="left" readingOrder="0" vertical="bottom"/>
    </xf>
    <xf borderId="0" fillId="0" fontId="1" numFmtId="9" xfId="0" applyAlignment="1" applyFont="1" applyNumberFormat="1">
      <alignment horizontal="right" shrinkToFit="0" vertical="center" wrapText="1"/>
    </xf>
    <xf borderId="0" fillId="0" fontId="33" numFmtId="3" xfId="0" applyAlignment="1" applyFont="1" applyNumberFormat="1">
      <alignment horizontal="right" readingOrder="0" shrinkToFit="0" vertical="bottom" wrapText="0"/>
    </xf>
    <xf borderId="0" fillId="0" fontId="26" numFmtId="0" xfId="0" applyAlignment="1" applyFont="1">
      <alignment horizontal="left" shrinkToFit="0" vertical="bottom" wrapText="1"/>
    </xf>
    <xf borderId="0" fillId="8" fontId="34" numFmtId="0" xfId="0" applyAlignment="1" applyFill="1" applyFont="1">
      <alignment shrinkToFit="0" vertical="bottom" wrapText="0"/>
    </xf>
    <xf borderId="0" fillId="0" fontId="34" numFmtId="0" xfId="0" applyAlignment="1" applyFont="1">
      <alignment shrinkToFit="0" wrapText="0"/>
    </xf>
    <xf borderId="0" fillId="0" fontId="2" numFmtId="0" xfId="0" applyAlignment="1" applyFont="1">
      <alignment horizontal="left" readingOrder="0" vertical="bottom"/>
    </xf>
    <xf borderId="0" fillId="2" fontId="2" numFmtId="167" xfId="0" applyAlignment="1" applyFill="1" applyFont="1" applyNumberFormat="1">
      <alignment horizontal="right" readingOrder="0" vertical="bottom"/>
    </xf>
    <xf borderId="0" fillId="0" fontId="26" numFmtId="0" xfId="0" applyAlignment="1" applyFont="1">
      <alignment horizontal="left" readingOrder="0" shrinkToFit="0" vertical="bottom" wrapText="1"/>
    </xf>
    <xf borderId="0" fillId="0" fontId="35" numFmtId="0" xfId="0" applyAlignment="1" applyFont="1">
      <alignment horizontal="center" readingOrder="0" shrinkToFit="0" wrapText="1"/>
    </xf>
    <xf borderId="0" fillId="0" fontId="36" numFmtId="0" xfId="0" applyAlignment="1" applyFont="1">
      <alignment horizontal="left" readingOrder="0" vertical="bottom"/>
    </xf>
    <xf borderId="0" fillId="0" fontId="37" numFmtId="0" xfId="0" applyAlignment="1" applyFont="1">
      <alignment horizontal="center" readingOrder="0" shrinkToFit="0" wrapText="1"/>
    </xf>
    <xf borderId="0" fillId="0" fontId="36" numFmtId="167" xfId="0" applyAlignment="1" applyFont="1" applyNumberFormat="1">
      <alignment horizontal="right" readingOrder="0" vertical="bottom"/>
    </xf>
    <xf borderId="0" fillId="0" fontId="38" numFmtId="0" xfId="0" applyAlignment="1" applyFont="1">
      <alignment horizontal="center" shrinkToFit="0" wrapText="1"/>
    </xf>
    <xf borderId="0" fillId="0" fontId="39" numFmtId="0" xfId="0" applyAlignment="1" applyFont="1">
      <alignment horizontal="left" readingOrder="0" vertical="bottom"/>
    </xf>
    <xf borderId="0" fillId="0" fontId="39" numFmtId="167" xfId="0" applyAlignment="1" applyFont="1" applyNumberFormat="1">
      <alignment horizontal="right" readingOrder="0" shrinkToFit="0" vertical="bottom" wrapText="0"/>
    </xf>
    <xf borderId="0" fillId="8" fontId="26" numFmtId="0" xfId="0" applyAlignment="1" applyFill="1" applyFont="1">
      <alignment horizontal="left" shrinkToFit="0" vertical="bottom" wrapText="1"/>
    </xf>
    <xf borderId="0" fillId="0" fontId="1" numFmtId="3" xfId="0" applyAlignment="1" applyFont="1" applyNumberFormat="1">
      <alignment horizontal="right" shrinkToFit="0" vertical="center" wrapText="1"/>
    </xf>
    <xf borderId="0" fillId="9" fontId="2" numFmtId="0" xfId="0" applyAlignment="1" applyFill="1" applyFont="1">
      <alignment horizontal="left" readingOrder="0" vertical="bottom"/>
    </xf>
    <xf borderId="0" fillId="0" fontId="6" numFmtId="164" xfId="0" applyAlignment="1" applyFont="1" applyNumberFormat="1">
      <alignment vertical="center"/>
    </xf>
    <xf borderId="0" fillId="9" fontId="2" numFmtId="9" xfId="0" applyAlignment="1" applyFill="1" applyFont="1" applyNumberFormat="1">
      <alignment horizontal="right" readingOrder="0" shrinkToFit="0" vertical="bottom" wrapText="0"/>
    </xf>
    <xf borderId="0" fillId="8" fontId="7" numFmtId="0" xfId="0" applyFill="1" applyFont="1"/>
    <xf borderId="0" fillId="0" fontId="6" numFmtId="10" xfId="0" applyAlignment="1" applyFont="1" applyNumberFormat="1">
      <alignment vertical="center"/>
    </xf>
    <xf borderId="0" fillId="10" fontId="7" numFmtId="0" xfId="0" applyFill="1" applyFont="1"/>
    <xf borderId="0" fillId="0" fontId="6" numFmtId="9" xfId="0" applyAlignment="1" applyFont="1" applyNumberFormat="1">
      <alignment readingOrder="0" vertical="center"/>
    </xf>
    <xf borderId="0" fillId="10" fontId="13" numFmtId="0" xfId="0" applyAlignment="1" applyFill="1" applyFont="1">
      <alignment horizontal="left" shrinkToFit="0" wrapText="1"/>
    </xf>
    <xf borderId="0" fillId="11" fontId="12" numFmtId="0" xfId="0" applyAlignment="1" applyFill="1" applyFont="1">
      <alignment readingOrder="0" shrinkToFit="0" wrapText="1"/>
    </xf>
    <xf borderId="0" fillId="9" fontId="14" numFmtId="0" xfId="0" applyAlignment="1" applyFill="1" applyFont="1">
      <alignment shrinkToFit="0" wrapText="1"/>
    </xf>
    <xf borderId="0" fillId="2" fontId="7" numFmtId="3" xfId="0" applyAlignment="1" applyFill="1" applyFont="1" applyNumberFormat="1">
      <alignment horizontal="right" readingOrder="0" shrinkToFit="0" wrapText="1"/>
    </xf>
    <xf borderId="0" fillId="2" fontId="7" numFmtId="164" xfId="0" applyAlignment="1" applyFill="1" applyFont="1" applyNumberFormat="1">
      <alignment horizontal="right" shrinkToFit="0" wrapText="1"/>
    </xf>
    <xf borderId="0" fillId="0" fontId="40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12" fontId="7" numFmtId="0" xfId="0" applyAlignment="1" applyFill="1" applyFont="1">
      <alignment horizontal="right" shrinkToFit="0" vertical="center" wrapText="1"/>
    </xf>
    <xf borderId="0" fillId="0" fontId="24" numFmtId="0" xfId="0" applyAlignment="1" applyFont="1">
      <alignment horizontal="left" shrinkToFit="0" wrapText="1"/>
    </xf>
    <xf borderId="0" fillId="12" fontId="7" numFmtId="3" xfId="0" applyAlignment="1" applyFill="1" applyFont="1" applyNumberFormat="1">
      <alignment horizontal="right" shrinkToFit="0" vertical="center" wrapText="1"/>
    </xf>
    <xf borderId="0" fillId="12" fontId="7" numFmtId="0" xfId="0" applyAlignment="1" applyFill="1" applyFont="1">
      <alignment shrinkToFit="0" vertical="center" wrapText="1"/>
    </xf>
    <xf borderId="0" fillId="8" fontId="7" numFmtId="0" xfId="0" applyAlignment="1" applyFill="1" applyFont="1">
      <alignment readingOrder="0" shrinkToFit="0" vertical="center" wrapText="1"/>
    </xf>
    <xf borderId="0" fillId="8" fontId="8" numFmtId="0" xfId="0" applyAlignment="1" applyFill="1" applyFont="1">
      <alignment readingOrder="0" shrinkToFit="0" vertical="center" wrapText="1"/>
    </xf>
    <xf borderId="0" fillId="4" fontId="10" numFmtId="0" xfId="0" applyAlignment="1" applyFill="1" applyFont="1">
      <alignment horizontal="left" readingOrder="0" shrinkToFit="0" vertical="center" wrapText="1"/>
    </xf>
    <xf borderId="0" fillId="4" fontId="3" numFmtId="9" xfId="0" applyAlignment="1" applyFill="1" applyFont="1" applyNumberFormat="1">
      <alignment readingOrder="0" vertical="center"/>
    </xf>
    <xf borderId="0" fillId="8" fontId="11" numFmtId="0" xfId="0" applyAlignment="1" applyFill="1" applyFont="1">
      <alignment horizontal="center" shrinkToFit="0" vertical="center" wrapText="1"/>
    </xf>
    <xf borderId="0" fillId="8" fontId="6" numFmtId="0" xfId="0" applyAlignment="1" applyFill="1" applyFont="1">
      <alignment vertical="center"/>
    </xf>
    <xf borderId="0" fillId="0" fontId="7" numFmtId="165" xfId="0" applyAlignment="1" applyFont="1" applyNumberFormat="1">
      <alignment horizontal="right" shrinkToFit="0" wrapText="1"/>
    </xf>
    <xf borderId="0" fillId="4" fontId="3" numFmtId="164" xfId="0" applyAlignment="1" applyFill="1" applyFont="1" applyNumberFormat="1">
      <alignment vertical="center"/>
    </xf>
    <xf borderId="0" fillId="12" fontId="7" numFmtId="0" xfId="0" applyAlignment="1" applyFill="1" applyFont="1">
      <alignment readingOrder="0" shrinkToFit="0" vertical="center" wrapText="1"/>
    </xf>
    <xf borderId="0" fillId="0" fontId="41" numFmtId="0" xfId="0" applyAlignment="1" applyFont="1">
      <alignment horizontal="left" shrinkToFit="0" wrapText="1"/>
    </xf>
    <xf borderId="0" fillId="0" fontId="14" numFmtId="164" xfId="0" applyAlignment="1" applyFont="1" applyNumberFormat="1">
      <alignment horizontal="right"/>
    </xf>
    <xf borderId="0" fillId="0" fontId="1" numFmtId="165" xfId="0" applyAlignment="1" applyFont="1" applyNumberFormat="1">
      <alignment horizontal="right" readingOrder="0" shrinkToFit="0" vertical="center" wrapText="1"/>
    </xf>
    <xf borderId="0" fillId="0" fontId="7" numFmtId="0" xfId="0" applyAlignment="1" applyFont="1">
      <alignment horizontal="right" shrinkToFit="0" vertical="bottom" wrapText="1"/>
    </xf>
    <xf borderId="0" fillId="0" fontId="42" numFmtId="0" xfId="0" applyAlignment="1" applyFont="1">
      <alignment horizontal="center" shrinkToFit="0" vertical="center" wrapText="1"/>
    </xf>
    <xf borderId="0" fillId="0" fontId="43" numFmtId="0" xfId="0" applyAlignment="1" applyFont="1">
      <alignment horizontal="center" readingOrder="0" shrinkToFit="0" vertical="center" wrapText="1"/>
    </xf>
    <xf borderId="0" fillId="0" fontId="7" numFmtId="164" xfId="0" applyAlignment="1" applyFont="1" applyNumberFormat="1">
      <alignment horizontal="right" shrinkToFit="0" vertical="bottom" wrapText="1"/>
    </xf>
    <xf borderId="0" fillId="0" fontId="44" numFmtId="0" xfId="0" applyAlignment="1" applyFont="1">
      <alignment readingOrder="0" vertical="center"/>
    </xf>
    <xf borderId="0" fillId="0" fontId="45" numFmtId="164" xfId="0" applyAlignment="1" applyFont="1" applyNumberFormat="1">
      <alignment vertical="center"/>
    </xf>
    <xf borderId="0" fillId="0" fontId="42" numFmtId="0" xfId="0" applyAlignment="1" applyFont="1">
      <alignment horizontal="center" readingOrder="0" shrinkToFit="0" vertical="center" wrapText="1"/>
    </xf>
    <xf borderId="0" fillId="0" fontId="7" numFmtId="168" xfId="0" applyAlignment="1" applyFont="1" applyNumberFormat="1">
      <alignment horizontal="right"/>
    </xf>
    <xf borderId="0" fillId="0" fontId="4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bottom" wrapText="1"/>
    </xf>
    <xf borderId="0" fillId="0" fontId="7" numFmtId="0" xfId="0" applyAlignment="1" applyFont="1">
      <alignment horizontal="right" readingOrder="0" shrinkToFit="0" vertical="bottom" wrapText="1"/>
    </xf>
    <xf borderId="0" fillId="12" fontId="11" numFmtId="0" xfId="0" applyAlignment="1" applyFill="1" applyFont="1">
      <alignment horizontal="center" readingOrder="0" shrinkToFit="0" vertical="center" wrapText="1"/>
    </xf>
    <xf borderId="0" fillId="0" fontId="14" numFmtId="164" xfId="0" applyAlignment="1" applyFont="1" applyNumberFormat="1">
      <alignment horizontal="right" readingOrder="0" shrinkToFit="0" vertical="center" wrapText="1"/>
    </xf>
    <xf borderId="0" fillId="12" fontId="11" numFmtId="0" xfId="0" applyAlignment="1" applyFill="1" applyFont="1">
      <alignment horizontal="center" shrinkToFit="0" vertical="center" wrapText="1"/>
    </xf>
    <xf borderId="0" fillId="2" fontId="7" numFmtId="0" xfId="0" applyAlignment="1" applyFill="1" applyFont="1">
      <alignment horizontal="right" shrinkToFit="0" wrapText="1"/>
    </xf>
    <xf borderId="0" fillId="0" fontId="13" numFmtId="0" xfId="0" applyAlignment="1" applyFont="1">
      <alignment horizontal="left" readingOrder="0" shrinkToFit="0" wrapText="1"/>
    </xf>
    <xf borderId="0" fillId="0" fontId="47" numFmtId="0" xfId="0" applyAlignment="1" applyFont="1">
      <alignment horizontal="left" shrinkToFit="0" wrapText="1"/>
    </xf>
    <xf borderId="0" fillId="0" fontId="6" numFmtId="169" xfId="0" applyAlignment="1" applyFont="1" applyNumberFormat="1">
      <alignment vertical="center"/>
    </xf>
    <xf borderId="0" fillId="12" fontId="48" numFmtId="0" xfId="0" applyAlignment="1" applyFill="1" applyFont="1">
      <alignment horizontal="center" readingOrder="0" shrinkToFit="0" vertical="center" wrapText="1"/>
    </xf>
    <xf borderId="0" fillId="0" fontId="14" numFmtId="164" xfId="0" applyAlignment="1" applyFont="1" applyNumberFormat="1">
      <alignment horizontal="right" shrinkToFit="0" wrapText="1"/>
    </xf>
    <xf borderId="0" fillId="0" fontId="3" numFmtId="164" xfId="0" applyAlignment="1" applyFont="1" applyNumberFormat="1">
      <alignment vertical="center"/>
    </xf>
    <xf borderId="0" fillId="0" fontId="7" numFmtId="9" xfId="0" applyAlignment="1" applyFont="1" applyNumberFormat="1">
      <alignment horizontal="right"/>
    </xf>
    <xf borderId="0" fillId="8" fontId="7" numFmtId="0" xfId="0" applyAlignment="1" applyFill="1" applyFont="1">
      <alignment shrinkToFit="0" vertical="center" wrapText="1"/>
    </xf>
    <xf borderId="0" fillId="0" fontId="7" numFmtId="164" xfId="0" applyAlignment="1" applyFont="1" applyNumberFormat="1">
      <alignment horizontal="right"/>
    </xf>
    <xf borderId="0" fillId="0" fontId="7" numFmtId="0" xfId="0" applyAlignment="1" applyFont="1">
      <alignment horizontal="right"/>
    </xf>
    <xf borderId="0" fillId="0" fontId="14" numFmtId="0" xfId="0" applyAlignment="1" applyFont="1">
      <alignment shrinkToFit="0" wrapText="1"/>
    </xf>
    <xf borderId="0" fillId="0" fontId="49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vertical="bottom"/>
    </xf>
    <xf borderId="0" fillId="0" fontId="7" numFmtId="9" xfId="0" applyAlignment="1" applyFont="1" applyNumberFormat="1">
      <alignment horizontal="right" vertical="bottom"/>
    </xf>
    <xf borderId="0" fillId="0" fontId="10" numFmtId="0" xfId="0" applyAlignment="1" applyFont="1">
      <alignment horizontal="left" readingOrder="0" shrinkToFit="0" vertical="center" wrapText="1"/>
    </xf>
    <xf borderId="0" fillId="0" fontId="50" numFmtId="0" xfId="0" applyAlignment="1" applyFont="1">
      <alignment horizontal="left" shrinkToFit="0" wrapText="1"/>
    </xf>
    <xf borderId="0" fillId="0" fontId="7" numFmtId="10" xfId="0" applyAlignment="1" applyFont="1" applyNumberFormat="1">
      <alignment horizontal="right"/>
    </xf>
    <xf borderId="0" fillId="4" fontId="7" numFmtId="0" xfId="0" applyAlignment="1" applyFill="1" applyFont="1">
      <alignment shrinkToFit="0" vertical="center" wrapText="1"/>
    </xf>
    <xf borderId="0" fillId="4" fontId="6" numFmtId="0" xfId="0" applyAlignment="1" applyFill="1" applyFont="1">
      <alignment vertical="center"/>
    </xf>
    <xf borderId="0" fillId="4" fontId="11" numFmtId="0" xfId="0" applyAlignment="1" applyFill="1" applyFont="1">
      <alignment horizontal="center" readingOrder="0" shrinkToFit="0" vertical="center" wrapText="1"/>
    </xf>
    <xf borderId="0" fillId="9" fontId="14" numFmtId="0" xfId="0" applyAlignment="1" applyFill="1" applyFont="1">
      <alignment readingOrder="0" shrinkToFit="0" wrapText="1"/>
    </xf>
    <xf borderId="0" fillId="8" fontId="11" numFmtId="0" xfId="0" applyAlignment="1" applyFill="1" applyFont="1">
      <alignment horizontal="center" readingOrder="0" shrinkToFit="0" vertical="center" wrapText="1"/>
    </xf>
    <xf borderId="0" fillId="8" fontId="1" numFmtId="0" xfId="0" applyAlignment="1" applyFill="1" applyFont="1">
      <alignment readingOrder="0" shrinkToFit="0" vertical="center" wrapText="1"/>
    </xf>
    <xf borderId="0" fillId="8" fontId="3" numFmtId="0" xfId="0" applyAlignment="1" applyFill="1" applyFont="1">
      <alignment vertical="center"/>
    </xf>
    <xf borderId="0" fillId="7" fontId="7" numFmtId="0" xfId="0" applyAlignment="1" applyFill="1" applyFont="1">
      <alignment readingOrder="0" shrinkToFit="0" vertical="center" wrapText="1"/>
    </xf>
    <xf borderId="0" fillId="7" fontId="51" numFmtId="0" xfId="0" applyAlignment="1" applyFill="1" applyFont="1">
      <alignment vertical="center"/>
    </xf>
    <xf borderId="0" fillId="0" fontId="52" numFmtId="0" xfId="0" applyAlignment="1" applyFont="1">
      <alignment readingOrder="0" shrinkToFit="0" vertical="center" wrapText="1"/>
    </xf>
    <xf borderId="0" fillId="0" fontId="53" numFmtId="0" xfId="0" applyAlignment="1" applyFont="1">
      <alignment shrinkToFit="0" wrapText="1"/>
    </xf>
    <xf borderId="0" fillId="0" fontId="54" numFmtId="164" xfId="0" applyAlignment="1" applyFont="1" applyNumberFormat="1">
      <alignment vertical="center"/>
    </xf>
    <xf borderId="0" fillId="0" fontId="6" numFmtId="168" xfId="0" applyAlignment="1" applyFont="1" applyNumberFormat="1">
      <alignment vertical="center"/>
    </xf>
    <xf borderId="0" fillId="8" fontId="3" numFmtId="164" xfId="0" applyAlignment="1" applyFill="1" applyFont="1" applyNumberFormat="1">
      <alignment vertical="center"/>
    </xf>
    <xf borderId="0" fillId="2" fontId="7" numFmtId="168" xfId="0" applyAlignment="1" applyFill="1" applyFont="1" applyNumberFormat="1">
      <alignment horizontal="right" readingOrder="0"/>
    </xf>
    <xf borderId="0" fillId="0" fontId="3" numFmtId="9" xfId="0" applyAlignment="1" applyFont="1" applyNumberFormat="1">
      <alignment vertical="center"/>
    </xf>
    <xf borderId="0" fillId="9" fontId="15" numFmtId="0" xfId="0" applyAlignment="1" applyFill="1" applyFont="1">
      <alignment shrinkToFit="0" wrapText="1"/>
    </xf>
    <xf borderId="0" fillId="9" fontId="15" numFmtId="9" xfId="0" applyAlignment="1" applyFill="1" applyFont="1" applyNumberFormat="1">
      <alignment horizontal="right"/>
    </xf>
    <xf borderId="0" fillId="13" fontId="15" numFmtId="0" xfId="0" applyAlignment="1" applyFill="1" applyFont="1">
      <alignment readingOrder="0" shrinkToFit="0" wrapText="1"/>
    </xf>
    <xf borderId="0" fillId="0" fontId="24" numFmtId="0" xfId="0" applyAlignment="1" applyFont="1">
      <alignment horizontal="left" shrinkToFit="0" vertical="center" wrapText="1"/>
    </xf>
    <xf borderId="0" fillId="2" fontId="7" numFmtId="164" xfId="0" applyAlignment="1" applyFill="1" applyFont="1" applyNumberFormat="1">
      <alignment horizontal="right" readingOrder="0" shrinkToFit="0" wrapText="1"/>
    </xf>
    <xf borderId="0" fillId="2" fontId="7" numFmtId="9" xfId="0" applyAlignment="1" applyFill="1" applyFont="1" applyNumberFormat="1">
      <alignment horizontal="right" readingOrder="0" shrinkToFit="0" wrapText="1"/>
    </xf>
    <xf borderId="0" fillId="8" fontId="7" numFmtId="164" xfId="0" applyAlignment="1" applyFill="1" applyFont="1" applyNumberFormat="1">
      <alignment horizontal="right" shrinkToFit="0" wrapText="1"/>
    </xf>
    <xf borderId="0" fillId="0" fontId="7" numFmtId="9" xfId="0" applyAlignment="1" applyFont="1" applyNumberFormat="1">
      <alignment horizontal="right" readingOrder="0" shrinkToFit="0" wrapText="1"/>
    </xf>
    <xf borderId="0" fillId="0" fontId="55" numFmtId="0" xfId="0" applyAlignment="1" applyFont="1">
      <alignment horizontal="center" readingOrder="0" shrinkToFit="0" vertical="center" wrapText="1"/>
    </xf>
    <xf borderId="0" fillId="0" fontId="7" numFmtId="9" xfId="0" applyAlignment="1" applyFont="1" applyNumberFormat="1">
      <alignment readingOrder="0" shrinkToFit="0" vertical="center" wrapText="1"/>
    </xf>
    <xf borderId="0" fillId="0" fontId="24" numFmtId="0" xfId="0" applyAlignment="1" applyFont="1">
      <alignment horizontal="left" readingOrder="0" shrinkToFit="0" vertical="center" wrapText="1"/>
    </xf>
    <xf borderId="0" fillId="0" fontId="56" numFmtId="0" xfId="0" applyAlignment="1" applyFont="1">
      <alignment horizontal="left" readingOrder="0" shrinkToFit="0" wrapText="1"/>
    </xf>
    <xf borderId="0" fillId="0" fontId="57" numFmtId="0" xfId="0" applyAlignment="1" applyFont="1">
      <alignment horizontal="left" readingOrder="0" shrinkToFit="0" wrapText="1"/>
    </xf>
    <xf borderId="0" fillId="0" fontId="3" numFmtId="0" xfId="0" applyAlignment="1" applyFont="1">
      <alignment readingOrder="0" shrinkToFit="0" vertical="center" wrapText="1"/>
    </xf>
    <xf borderId="0" fillId="0" fontId="29" numFmtId="0" xfId="0" applyAlignment="1" applyFont="1">
      <alignment horizontal="left" shrinkToFit="0" wrapText="1"/>
    </xf>
    <xf borderId="0" fillId="0" fontId="7" numFmtId="164" xfId="0" applyAlignment="1" applyFont="1" applyNumberFormat="1">
      <alignment horizontal="right" shrinkToFit="0" vertical="center" wrapText="1"/>
    </xf>
    <xf borderId="0" fillId="0" fontId="58" numFmtId="0" xfId="0" applyAlignment="1" applyFont="1">
      <alignment horizontal="left" readingOrder="0" shrinkToFit="0" vertical="center" wrapText="1"/>
    </xf>
    <xf borderId="0" fillId="0" fontId="15" numFmtId="0" xfId="0" applyAlignment="1" applyFont="1">
      <alignment readingOrder="0" shrinkToFit="0" wrapText="1"/>
    </xf>
    <xf borderId="0" fillId="14" fontId="15" numFmtId="0" xfId="0" applyAlignment="1" applyFill="1" applyFont="1">
      <alignment readingOrder="0" shrinkToFit="0" wrapText="1"/>
    </xf>
    <xf borderId="0" fillId="0" fontId="7" numFmtId="0" xfId="0" applyAlignment="1" applyFont="1">
      <alignment readingOrder="0" vertical="top"/>
    </xf>
    <xf borderId="0" fillId="0" fontId="34" numFmtId="170" xfId="0" applyAlignment="1" applyFont="1" applyNumberFormat="1">
      <alignment horizontal="right" readingOrder="0" vertical="bottom"/>
    </xf>
    <xf borderId="0" fillId="0" fontId="13" numFmtId="0" xfId="0" applyAlignment="1" applyFont="1">
      <alignment horizontal="left" shrinkToFit="0" vertical="top" wrapText="1"/>
    </xf>
    <xf borderId="0" fillId="0" fontId="34" numFmtId="170" xfId="0" applyAlignment="1" applyFont="1" applyNumberFormat="1">
      <alignment horizontal="right" vertical="bottom"/>
    </xf>
    <xf borderId="0" fillId="0" fontId="13" numFmtId="0" xfId="0" applyAlignment="1" applyFont="1">
      <alignment horizontal="left" readingOrder="0" shrinkToFit="0" vertical="top" wrapText="1"/>
    </xf>
    <xf borderId="0" fillId="0" fontId="7" numFmtId="0" xfId="0" applyAlignment="1" applyFont="1">
      <alignment vertical="top"/>
    </xf>
    <xf borderId="0" fillId="0" fontId="34" numFmtId="3" xfId="0" applyAlignment="1" applyFont="1" applyNumberFormat="1">
      <alignment horizontal="right" readingOrder="0" vertical="bottom"/>
    </xf>
    <xf borderId="0" fillId="0" fontId="34" numFmtId="0" xfId="0" applyAlignment="1" applyFont="1">
      <alignment horizontal="right" vertical="bottom"/>
    </xf>
    <xf borderId="0" fillId="0" fontId="26" numFmtId="0" xfId="0" applyAlignment="1" applyFont="1">
      <alignment horizontal="left" readingOrder="0" shrinkToFit="0" vertical="top" wrapText="1"/>
    </xf>
    <xf borderId="0" fillId="0" fontId="34" numFmtId="9" xfId="0" applyAlignment="1" applyFont="1" applyNumberFormat="1">
      <alignment horizontal="right" vertical="bottom"/>
    </xf>
    <xf borderId="0" fillId="0" fontId="1" numFmtId="0" xfId="0" applyAlignment="1" applyFont="1">
      <alignment readingOrder="0" vertical="top"/>
    </xf>
    <xf borderId="0" fillId="0" fontId="1" numFmtId="170" xfId="0" applyAlignment="1" applyFont="1" applyNumberFormat="1">
      <alignment horizontal="right" vertical="bottom"/>
    </xf>
    <xf borderId="0" fillId="0" fontId="29" numFmtId="0" xfId="0" applyAlignment="1" applyFont="1">
      <alignment horizontal="left" readingOrder="0" shrinkToFit="0" vertical="center" wrapText="1"/>
    </xf>
    <xf borderId="0" fillId="8" fontId="6" numFmtId="0" xfId="0" applyAlignment="1" applyFill="1" applyFont="1">
      <alignment readingOrder="0" vertical="center"/>
    </xf>
    <xf borderId="0" fillId="0" fontId="59" numFmtId="0" xfId="0" applyAlignment="1" applyFont="1">
      <alignment readingOrder="0" shrinkToFit="0" wrapText="1"/>
    </xf>
    <xf borderId="0" fillId="0" fontId="16" numFmtId="0" xfId="0" applyAlignment="1" applyFont="1">
      <alignment vertical="bottom"/>
    </xf>
    <xf borderId="1" fillId="2" fontId="7" numFmtId="171" xfId="0" applyAlignment="1" applyBorder="1" applyFill="1" applyFont="1" applyNumberFormat="1">
      <alignment horizontal="right"/>
    </xf>
    <xf borderId="1" fillId="0" fontId="7" numFmtId="171" xfId="0" applyAlignment="1" applyBorder="1" applyFont="1" applyNumberFormat="1">
      <alignment horizontal="right"/>
    </xf>
    <xf borderId="0" fillId="0" fontId="60" numFmtId="0" xfId="0" applyAlignment="1" applyFont="1">
      <alignment horizontal="left" shrinkToFit="0" vertical="bottom" wrapText="1"/>
    </xf>
    <xf borderId="1" fillId="0" fontId="7" numFmtId="0" xfId="0" applyAlignment="1" applyBorder="1" applyFont="1">
      <alignment shrinkToFit="0" wrapText="1"/>
    </xf>
    <xf borderId="1" fillId="0" fontId="7" numFmtId="10" xfId="0" applyAlignment="1" applyBorder="1" applyFont="1" applyNumberFormat="1">
      <alignment horizontal="right" readingOrder="0"/>
    </xf>
    <xf borderId="1" fillId="0" fontId="61" numFmtId="0" xfId="0" applyAlignment="1" applyBorder="1" applyFont="1">
      <alignment horizontal="left" readingOrder="0" shrinkToFit="0" wrapText="1"/>
    </xf>
    <xf borderId="0" fillId="2" fontId="16" numFmtId="3" xfId="0" applyAlignment="1" applyFill="1" applyFont="1" applyNumberFormat="1">
      <alignment horizontal="right" readingOrder="0" vertical="bottom"/>
    </xf>
    <xf borderId="1" fillId="0" fontId="60" numFmtId="0" xfId="0" applyAlignment="1" applyBorder="1" applyFont="1">
      <alignment horizontal="left" shrinkToFit="0" wrapText="1"/>
    </xf>
    <xf borderId="2" fillId="0" fontId="1" numFmtId="0" xfId="0" applyAlignment="1" applyBorder="1" applyFont="1">
      <alignment readingOrder="0" shrinkToFit="0" vertical="top" wrapText="1"/>
    </xf>
    <xf borderId="1" fillId="0" fontId="1" numFmtId="171" xfId="0" applyAlignment="1" applyBorder="1" applyFont="1" applyNumberFormat="1">
      <alignment horizontal="right"/>
    </xf>
    <xf borderId="1" fillId="0" fontId="13" numFmtId="0" xfId="0" applyAlignment="1" applyBorder="1" applyFont="1">
      <alignment horizontal="left" shrinkToFit="0" wrapText="1"/>
    </xf>
    <xf borderId="0" fillId="0" fontId="13" numFmtId="0" xfId="0" applyAlignment="1" applyFont="1">
      <alignment horizontal="left" shrinkToFit="0" vertical="center" wrapText="1"/>
    </xf>
    <xf borderId="0" fillId="0" fontId="7" numFmtId="0" xfId="0" applyAlignment="1" applyFont="1">
      <alignment readingOrder="0" shrinkToFit="0" vertical="top" wrapText="1"/>
    </xf>
    <xf borderId="0" fillId="2" fontId="1" numFmtId="9" xfId="0" applyAlignment="1" applyFill="1" applyFont="1" applyNumberFormat="1">
      <alignment horizontal="right" readingOrder="0" shrinkToFit="0" vertical="bottom" wrapText="1"/>
    </xf>
    <xf borderId="0" fillId="0" fontId="24" numFmtId="0" xfId="0" applyAlignment="1" applyFont="1">
      <alignment horizontal="left" shrinkToFit="0" vertical="top" wrapText="1"/>
    </xf>
    <xf borderId="0" fillId="0" fontId="7" numFmtId="0" xfId="0" applyAlignment="1" applyFont="1">
      <alignment shrinkToFit="0" vertical="top" wrapText="1"/>
    </xf>
    <xf borderId="0" fillId="0" fontId="7" numFmtId="3" xfId="0" applyAlignment="1" applyFont="1" applyNumberFormat="1">
      <alignment horizontal="right" shrinkToFit="0" vertical="bottom" wrapText="1"/>
    </xf>
    <xf borderId="0" fillId="0" fontId="7" numFmtId="170" xfId="0" applyAlignment="1" applyFont="1" applyNumberFormat="1">
      <alignment horizontal="right" shrinkToFit="0" vertical="bottom" wrapText="1"/>
    </xf>
    <xf borderId="2" fillId="0" fontId="7" numFmtId="0" xfId="0" applyAlignment="1" applyBorder="1" applyFont="1">
      <alignment shrinkToFit="0" vertical="top" wrapText="1"/>
    </xf>
    <xf borderId="2" fillId="0" fontId="34" numFmtId="9" xfId="0" applyAlignment="1" applyBorder="1" applyFont="1" applyNumberFormat="1">
      <alignment horizontal="right" shrinkToFit="0" vertical="bottom" wrapText="1"/>
    </xf>
    <xf borderId="2" fillId="0" fontId="29" numFmtId="0" xfId="0" applyAlignment="1" applyBorder="1" applyFont="1">
      <alignment horizontal="left" shrinkToFit="0" vertical="top" wrapText="1"/>
    </xf>
    <xf borderId="2" fillId="0" fontId="1" numFmtId="170" xfId="0" applyAlignment="1" applyBorder="1" applyFont="1" applyNumberFormat="1">
      <alignment horizontal="right" shrinkToFit="0" vertical="bottom" wrapText="1"/>
    </xf>
    <xf borderId="1" fillId="0" fontId="24" numFmtId="0" xfId="0" applyAlignment="1" applyBorder="1" applyFont="1">
      <alignment horizontal="left" shrinkToFit="0" wrapText="1"/>
    </xf>
    <xf borderId="2" fillId="0" fontId="7" numFmtId="3" xfId="0" applyAlignment="1" applyBorder="1" applyFont="1" applyNumberFormat="1">
      <alignment horizontal="right" shrinkToFit="0" vertical="bottom" wrapText="1"/>
    </xf>
    <xf borderId="2" fillId="0" fontId="7" numFmtId="167" xfId="0" applyAlignment="1" applyBorder="1" applyFont="1" applyNumberFormat="1">
      <alignment horizontal="right" shrinkToFit="0" vertical="bottom" wrapText="1"/>
    </xf>
    <xf borderId="0" fillId="0" fontId="24" numFmtId="0" xfId="0" applyAlignment="1" applyFont="1">
      <alignment horizontal="left" readingOrder="0" shrinkToFit="0" wrapText="1"/>
    </xf>
    <xf borderId="0" fillId="0" fontId="62" numFmtId="0" xfId="0" applyAlignment="1" applyFont="1">
      <alignment horizontal="left" readingOrder="0" shrinkToFit="0" wrapText="1"/>
    </xf>
    <xf borderId="2" fillId="0" fontId="1" numFmtId="167" xfId="0" applyAlignment="1" applyBorder="1" applyFont="1" applyNumberFormat="1">
      <alignment horizontal="right" shrinkToFit="0" vertical="bottom" wrapText="1"/>
    </xf>
    <xf borderId="2" fillId="0" fontId="63" numFmtId="0" xfId="0" applyAlignment="1" applyBorder="1" applyFont="1">
      <alignment vertical="bottom"/>
    </xf>
    <xf borderId="2" fillId="0" fontId="24" numFmtId="0" xfId="0" applyAlignment="1" applyBorder="1" applyFont="1">
      <alignment horizontal="left" shrinkToFit="0" vertical="bottom" wrapText="1"/>
    </xf>
    <xf borderId="2" fillId="0" fontId="7" numFmtId="9" xfId="0" applyAlignment="1" applyBorder="1" applyFont="1" applyNumberFormat="1">
      <alignment horizontal="right" shrinkToFit="0" wrapText="1"/>
    </xf>
    <xf borderId="0" fillId="0" fontId="64" numFmtId="0" xfId="0" applyAlignment="1" applyFont="1">
      <alignment horizontal="left" readingOrder="0" shrinkToFit="0" vertical="bottom" wrapText="1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horizontal="right" shrinkToFit="0" wrapText="1"/>
    </xf>
    <xf borderId="0" fillId="0" fontId="63" numFmtId="0" xfId="0" applyAlignment="1" applyFont="1">
      <alignment vertical="bottom"/>
    </xf>
    <xf borderId="0" fillId="0" fontId="1" numFmtId="164" xfId="0" applyAlignment="1" applyFont="1" applyNumberFormat="1">
      <alignment horizontal="right"/>
    </xf>
    <xf borderId="0" fillId="0" fontId="65" numFmtId="171" xfId="0" applyAlignment="1" applyFont="1" applyNumberFormat="1">
      <alignment horizontal="right"/>
    </xf>
    <xf borderId="1" fillId="0" fontId="39" numFmtId="0" xfId="0" applyAlignment="1" applyBorder="1" applyFont="1">
      <alignment readingOrder="0" shrinkToFit="0" wrapText="1"/>
    </xf>
    <xf borderId="1" fillId="2" fontId="39" numFmtId="171" xfId="0" applyAlignment="1" applyBorder="1" applyFill="1" applyFont="1" applyNumberFormat="1">
      <alignment horizontal="right"/>
    </xf>
    <xf borderId="1" fillId="0" fontId="7" numFmtId="0" xfId="0" applyAlignment="1" applyBorder="1" applyFont="1">
      <alignment shrinkToFit="0" wrapText="1"/>
    </xf>
    <xf borderId="0" fillId="0" fontId="29" numFmtId="0" xfId="0" applyAlignment="1" applyFont="1">
      <alignment horizontal="left" readingOrder="0" shrinkToFit="0" vertical="bottom" wrapText="1"/>
    </xf>
    <xf borderId="0" fillId="8" fontId="29" numFmtId="0" xfId="0" applyAlignment="1" applyFill="1" applyFont="1">
      <alignment horizontal="left" shrinkToFit="0" vertical="bottom" wrapText="1"/>
    </xf>
    <xf borderId="0" fillId="0" fontId="4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left"/>
    </xf>
    <xf borderId="0" fillId="15" fontId="14" numFmtId="0" xfId="0" applyAlignment="1" applyFill="1" applyFont="1">
      <alignment readingOrder="0" shrinkToFit="0" wrapText="1"/>
    </xf>
    <xf borderId="0" fillId="0" fontId="7" numFmtId="0" xfId="0" applyAlignment="1" applyFont="1">
      <alignment horizontal="left" vertical="bottom"/>
    </xf>
    <xf borderId="0" fillId="0" fontId="7" numFmtId="172" xfId="0" applyAlignment="1" applyFont="1" applyNumberFormat="1">
      <alignment horizontal="right" shrinkToFit="0" vertical="bottom" wrapText="1"/>
    </xf>
    <xf borderId="0" fillId="0" fontId="42" numFmtId="0" xfId="0" applyAlignment="1" applyFont="1">
      <alignment horizontal="left" shrinkToFit="0" wrapText="1"/>
    </xf>
    <xf borderId="0" fillId="0" fontId="7" numFmtId="0" xfId="0" applyAlignment="1" applyFont="1">
      <alignment horizontal="left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172" xfId="0" applyAlignment="1" applyFont="1" applyNumberFormat="1">
      <alignment horizontal="right" shrinkToFit="0" vertical="bottom" wrapText="1"/>
    </xf>
    <xf borderId="0" fillId="0" fontId="7" numFmtId="0" xfId="0" applyAlignment="1" applyFont="1">
      <alignment readingOrder="0"/>
    </xf>
    <xf borderId="0" fillId="0" fontId="42" numFmtId="0" xfId="0" applyAlignment="1" applyFont="1">
      <alignment horizontal="left" readingOrder="0" shrinkToFit="0" wrapText="1"/>
    </xf>
    <xf borderId="0" fillId="0" fontId="1" numFmtId="0" xfId="0" applyAlignment="1" applyFont="1">
      <alignment readingOrder="0"/>
    </xf>
    <xf borderId="0" fillId="0" fontId="6" numFmtId="0" xfId="0" applyAlignment="1" applyFont="1">
      <alignment horizontal="left"/>
    </xf>
    <xf borderId="0" fillId="0" fontId="7" numFmtId="3" xfId="0" applyAlignment="1" applyFont="1" applyNumberFormat="1">
      <alignment horizontal="right" readingOrder="0" shrinkToFit="0" vertical="bottom" wrapText="1"/>
    </xf>
    <xf borderId="0" fillId="0" fontId="7" numFmtId="3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ate Mikhailova" id="{e07a1504-2f59-4d11-8cbc-76d83388454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51" dT="2026-09-03T16:26:56.00" personId="{e07a1504-2f59-4d11-8cbc-76d833884549}" id="{f771f645-7de2-4404-a62b-67f24c1defe1}" done="1">
    <x18tc:text xml:space="preserve">а почему ты тут берешь эффект от кадровых ошибок - как тут сертификация помогает? логику не доперла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esearchgate.net/publication/342594824_PepsiCo's_Formula_for_Potential" TargetMode="External"/><Relationship Id="rId2" Type="http://schemas.openxmlformats.org/officeDocument/2006/relationships/hyperlink" Target="https://www.fastcompany.com/91251439/how-brand-savvy-hr-teams-slash-recruitment-costs?utm_source=chatgpt.com" TargetMode="External"/><Relationship Id="rId3" Type="http://schemas.openxmlformats.org/officeDocument/2006/relationships/hyperlink" Target="https://hbr.org/2016/03/a-bad-reputation-costs-company-at-least-10-more-per-hire" TargetMode="External"/><Relationship Id="rId4" Type="http://schemas.openxmlformats.org/officeDocument/2006/relationships/hyperlink" Target="https://www.gartner.com/en/newsroom/press-releases/2020-05-25-gartner-hr-research-shows-organizations-must-reinvent-their-employment-value-proposition-to-deliver-a-more-human-deal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faculty.wharton.upenn.edu/wp-content/uploads/2012/03/Paying_More_ASQ_edits_FINAL.pdf" TargetMode="External"/><Relationship Id="rId5" Type="http://schemas.openxmlformats.org/officeDocument/2006/relationships/hyperlink" Target="https://hrmessenger.com/pochemu_hr_dolzhen_dumat_kak_marketolog" TargetMode="External"/><Relationship Id="rId6" Type="http://schemas.openxmlformats.org/officeDocument/2006/relationships/hyperlink" Target="https://www.playtours.app/post/how-team-building-positively-impacts-employee-experience-with-statistical-evidence" TargetMode="External"/><Relationship Id="rId7" Type="http://schemas.openxmlformats.org/officeDocument/2006/relationships/hyperlink" Target="https://intelligence.weforum.org/topics/a1G0X000005JLTqUAO/publications/20cb3516a0cc44f7a38649dfa1883367" TargetMode="External"/><Relationship Id="rId8" Type="http://schemas.openxmlformats.org/officeDocument/2006/relationships/hyperlink" Target="https://www.linkedin.com/pulse/%D0%B8%D0%BD%D1%82%D0%B5%D1%80%D0%B5%D1%81%D0%BD%D1%8B%D0%B5-%D1%84%D0%B0%D0%BA%D1%82%D1%8B-%D0%BE%D0%B1-%D0%B0%D0%B4%D0%B0%D0%BF%D1%82%D0%B0%D1%86%D0%B8%D0%B8-%D1%81%D0%BE%D1%82%D1%80%D1%83%D0%B4%D0%BD%D0%B8%D0%BA%D0%BE%D0%B2-evgeniy-vanetik-tvj9f?originalSubdomain=ru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2.xml"/><Relationship Id="rId11" Type="http://schemas.openxmlformats.org/officeDocument/2006/relationships/hyperlink" Target="https://www.bcg.com/press/3june2026-ia-au-travail-jusqua-une-journee-economisee-par-semaine?" TargetMode="External"/><Relationship Id="rId10" Type="http://schemas.openxmlformats.org/officeDocument/2006/relationships/hyperlink" Target="https://www.linkedin.com/pulse/%D0%B8%D0%BD%D1%82%D0%B5%D1%80%D0%B5%D1%81%D0%BD%D1%8B%D0%B5-%D1%84%D0%B0%D0%BA%D1%82%D1%8B-%D0%BE%D0%B1-%D0%B0%D0%B4%D0%B0%D0%BF%D1%82%D0%B0%D1%86%D0%B8%D0%B8-%D1%81%D0%BE%D1%82%D1%80%D1%83%D0%B4%D0%BD%D0%B8%D0%BA%D0%BE%D0%B2-evgeniy-vanetik-tvj9f?originalSubdomain=ru" TargetMode="External"/><Relationship Id="rId21" Type="http://schemas.openxmlformats.org/officeDocument/2006/relationships/vmlDrawing" Target="../drawings/vmlDrawing1.vml"/><Relationship Id="rId13" Type="http://schemas.openxmlformats.org/officeDocument/2006/relationships/hyperlink" Target="https://www.gartner.com/en/newsroom/press-releases/2020-05-25-gartner-hr-research-shows-organizations-must-reinvent-their-employment-value-proposition-to-deliver-a-more-human-deal" TargetMode="External"/><Relationship Id="rId12" Type="http://schemas.openxmlformats.org/officeDocument/2006/relationships/hyperlink" Target="https://hbr.org/2016/03/a-bad-reputation-costs-company-at-least-10-more-per-hire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linkedin.com/pulse/%D0%B8%D0%BD%D1%82%D0%B5%D1%80%D0%B5%D1%81%D0%BD%D1%8B%D0%B5-%D1%84%D0%B0%D0%BA%D1%82%D1%8B-%D0%BE%D0%B1-%D0%B0%D0%B4%D0%B0%D0%BF%D1%82%D0%B0%D1%86%D0%B8%D0%B8-%D1%81%D0%BE%D1%82%D1%80%D1%83%D0%B4%D0%BD%D0%B8%D0%BA%D0%BE%D0%B2-evgeniy-vanetik-tvj9f?originalSubdomain=ru" TargetMode="External"/><Relationship Id="rId9" Type="http://schemas.openxmlformats.org/officeDocument/2006/relationships/hyperlink" Target="https://eml.berkeley.edu/~bhhall/papers/HallMairesseMohnen09_rndsurvey_HEI.pdf" TargetMode="External"/><Relationship Id="rId15" Type="http://schemas.openxmlformats.org/officeDocument/2006/relationships/hyperlink" Target="https://www.greatplacetowork.com/resources/blog/why-job-seekers-prefer-certified-workplaces?utm_source=chatgpt.com" TargetMode="External"/><Relationship Id="rId14" Type="http://schemas.openxmlformats.org/officeDocument/2006/relationships/hyperlink" Target="https://hrmessenger.com/pochemu_hr_dolzhen_dumat_kak_marketolog" TargetMode="External"/><Relationship Id="rId17" Type="http://schemas.openxmlformats.org/officeDocument/2006/relationships/hyperlink" Target="https://www.kommersant.ru/doc/4190377" TargetMode="External"/><Relationship Id="rId16" Type="http://schemas.openxmlformats.org/officeDocument/2006/relationships/hyperlink" Target="https://www.naceweb.org/talent-acquisition/trends-and-predictions/hiring-up-7-point-3-percent-for-the-college-class-of-2025" TargetMode="External"/><Relationship Id="rId5" Type="http://schemas.openxmlformats.org/officeDocument/2006/relationships/hyperlink" Target="https://www.gartner.com/en/newsroom/press-releases/2020-05-25-gartner-hr-research-shows-organizations-must-reinvent-their-employment-value-proposition-to-deliver-a-more-human-deal" TargetMode="External"/><Relationship Id="rId19" Type="http://schemas.openxmlformats.org/officeDocument/2006/relationships/hyperlink" Target="https://www.greatplacetowork.com/resources/blog/why-job-seekers-prefer-certified-workplaces?utm_source=chatgpt.com" TargetMode="External"/><Relationship Id="rId6" Type="http://schemas.openxmlformats.org/officeDocument/2006/relationships/hyperlink" Target="https://www.linkedin.com/business/talent/blog/talent-acquisition/roi-of-talent-brand?utm_source=chatgpt.com." TargetMode="External"/><Relationship Id="rId18" Type="http://schemas.openxmlformats.org/officeDocument/2006/relationships/hyperlink" Target="https://www.greatplacetowork.com/resources/blog/why-job-seekers-prefer-certified-workplaces?utm_source=chatgpt.com" TargetMode="External"/><Relationship Id="rId7" Type="http://schemas.openxmlformats.org/officeDocument/2006/relationships/hyperlink" Target="https://www.naceweb.org/talent-acquisition/trends-and-predictions/hiring-up-7-point-3-percent-for-the-college-class-of-2025" TargetMode="External"/><Relationship Id="rId8" Type="http://schemas.openxmlformats.org/officeDocument/2006/relationships/hyperlink" Target="https://www.playtours.app/post/how-team-building-positively-impacts-employee-experience-with-statistical-evidence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hbr.org/2016/03/a-bad-reputation-costs-company-at-least-10-more-per-hire" TargetMode="External"/><Relationship Id="rId2" Type="http://schemas.openxmlformats.org/officeDocument/2006/relationships/hyperlink" Target="https://www.gartner.com/en/newsroom/press-releases/2020-05-25-gartner-hr-research-shows-organizations-must-reinvent-their-employment-value-proposition-to-deliver-a-more-human-deal" TargetMode="External"/><Relationship Id="rId3" Type="http://schemas.openxmlformats.org/officeDocument/2006/relationships/hyperlink" Target="https://hrmessenger.com/pochemu_hr_dolzhen_dumat_kak_marketolog" TargetMode="External"/><Relationship Id="rId4" Type="http://schemas.openxmlformats.org/officeDocument/2006/relationships/hyperlink" Target="https://hrmessenger.com/pochemu_hr_dolzhen_dumat_kak_marketolog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TReh6YaAHafvrSJZoW_UTryxmT81UMONg9wSpTVtpJ0/edit?gid=1841237829" TargetMode="External"/><Relationship Id="rId2" Type="http://schemas.openxmlformats.org/officeDocument/2006/relationships/hyperlink" Target="https://docs.google.com/spreadsheets/d/1TReh6YaAHafvrSJZoW_UTryxmT81UMONg9wSpTVtpJ0/edit?gid=798430410" TargetMode="External"/><Relationship Id="rId3" Type="http://schemas.openxmlformats.org/officeDocument/2006/relationships/hyperlink" Target="https://docs.google.com/spreadsheets/d/1dd071MAZ_Zvh4ZzxOcR7eL-s6bwwygvh/edit?gid=1070759059" TargetMode="External"/><Relationship Id="rId4" Type="http://schemas.openxmlformats.org/officeDocument/2006/relationships/hyperlink" Target="https://docs.google.com/spreadsheets/d/1dd071MAZ_Zvh4ZzxOcR7eL-s6bwwygvh/edit?gid=1070759059" TargetMode="External"/><Relationship Id="rId5" Type="http://schemas.openxmlformats.org/officeDocument/2006/relationships/hyperlink" Target="https://docs.google.com/spreadsheets/d/1zvJUjVFbmAGH2AtApscA64wlr2sjoDVt/edit?rtpof=true&amp;gid=1494037662" TargetMode="External"/><Relationship Id="rId6" Type="http://schemas.openxmlformats.org/officeDocument/2006/relationships/hyperlink" Target="https://docs.google.com/spreadsheets/d/1lomU2XSC8dJ7AOA1XQHsK6QohThBIEYU/edit?gid=319971751" TargetMode="Externa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hbr.org/2016/03/a-bad-reputation-costs-company-at-least-10-more-per-hire" TargetMode="External"/><Relationship Id="rId2" Type="http://schemas.openxmlformats.org/officeDocument/2006/relationships/hyperlink" Target="https://www.gartner.com/en/newsroom/press-releases/2020-05-25-gartner-hr-research-shows-organizations-must-reinvent-their-employment-value-proposition-to-deliver-a-more-human-deal" TargetMode="External"/><Relationship Id="rId3" Type="http://schemas.openxmlformats.org/officeDocument/2006/relationships/hyperlink" Target="https://hrmessenger.com/pochemu_hr_dolzhen_dumat_kak_marketolog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 outlineLevelRow="1"/>
  <cols>
    <col customWidth="1" hidden="1" min="1" max="1" width="13.25"/>
    <col customWidth="1" hidden="1" min="2" max="2" width="17.88"/>
    <col customWidth="1" min="3" max="3" width="65.88"/>
    <col customWidth="1" min="4" max="4" width="14.0"/>
    <col customWidth="1" min="5" max="5" width="46.88"/>
    <col customWidth="1" min="6" max="6" width="26.13"/>
    <col customWidth="1" min="7" max="7" width="25.63"/>
  </cols>
  <sheetData>
    <row r="1">
      <c r="A1" s="1" t="s">
        <v>0</v>
      </c>
      <c r="B1" s="1" t="s">
        <v>3</v>
      </c>
      <c r="C1" s="1" t="s">
        <v>4</v>
      </c>
      <c r="D1" s="3" t="s">
        <v>5</v>
      </c>
      <c r="E1" s="5" t="s">
        <v>6</v>
      </c>
      <c r="F1" s="7" t="s">
        <v>7</v>
      </c>
      <c r="G1" s="7" t="s">
        <v>8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/>
      <c r="B2" s="10"/>
      <c r="C2" s="12" t="s">
        <v>11</v>
      </c>
      <c r="D2" s="14"/>
      <c r="E2" s="16"/>
      <c r="F2" s="7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outlineLevel="1">
      <c r="A3" s="17"/>
      <c r="B3" s="19"/>
      <c r="C3" s="25" t="s">
        <v>19</v>
      </c>
      <c r="D3" s="28"/>
      <c r="E3" s="24"/>
      <c r="F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outlineLevel="1">
      <c r="A4" s="17"/>
      <c r="B4" s="19"/>
      <c r="C4" s="32" t="s">
        <v>24</v>
      </c>
      <c r="D4" s="36">
        <v>100.0</v>
      </c>
      <c r="E4" s="37"/>
      <c r="F4" s="7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outlineLevel="1">
      <c r="A5" s="17"/>
      <c r="B5" s="19"/>
      <c r="C5" s="32" t="s">
        <v>26</v>
      </c>
      <c r="D5" s="36">
        <v>6.0</v>
      </c>
      <c r="E5" s="37"/>
      <c r="F5" s="7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outlineLevel="1">
      <c r="A6" s="17"/>
      <c r="B6" s="19"/>
      <c r="C6" s="32" t="s">
        <v>33</v>
      </c>
      <c r="D6" s="42">
        <f>37%*1.5</f>
        <v>0.555</v>
      </c>
      <c r="E6" s="49" t="s">
        <v>37</v>
      </c>
      <c r="F6" s="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outlineLevel="1">
      <c r="A7" s="17"/>
      <c r="B7" s="19"/>
      <c r="C7" s="32" t="s">
        <v>44</v>
      </c>
      <c r="D7" s="50">
        <f>150000*1.6</f>
        <v>240000</v>
      </c>
      <c r="E7" s="52" t="s">
        <v>41</v>
      </c>
      <c r="F7" s="7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outlineLevel="1">
      <c r="A8" s="17"/>
      <c r="B8" s="19"/>
      <c r="C8" s="32" t="s">
        <v>47</v>
      </c>
      <c r="D8" s="50">
        <f>70000*1.6</f>
        <v>112000</v>
      </c>
      <c r="E8" s="52" t="s">
        <v>41</v>
      </c>
      <c r="F8" s="7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outlineLevel="1">
      <c r="A9" s="17"/>
      <c r="B9" s="19"/>
      <c r="C9" s="13" t="s">
        <v>54</v>
      </c>
      <c r="D9" s="22"/>
      <c r="E9" s="54" t="s">
        <v>55</v>
      </c>
      <c r="F9" s="7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outlineLevel="1">
      <c r="A10" s="17"/>
      <c r="B10" s="19"/>
      <c r="C10" s="20" t="s">
        <v>58</v>
      </c>
      <c r="D10" s="22">
        <v>100.0</v>
      </c>
      <c r="E10" s="16"/>
      <c r="F10" s="7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outlineLevel="1">
      <c r="A11" s="17"/>
      <c r="B11" s="19"/>
      <c r="C11" s="1" t="s">
        <v>65</v>
      </c>
      <c r="D11" s="14"/>
      <c r="E11" s="27"/>
      <c r="F11" s="7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outlineLevel="1">
      <c r="A12" s="17"/>
      <c r="B12" s="19"/>
      <c r="C12" s="17" t="s">
        <v>66</v>
      </c>
      <c r="D12" s="14">
        <v>70000.0</v>
      </c>
      <c r="E12" s="27" t="s">
        <v>67</v>
      </c>
      <c r="F12" s="7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outlineLevel="1">
      <c r="A13" s="17"/>
      <c r="B13" s="19"/>
      <c r="C13" s="17" t="s">
        <v>69</v>
      </c>
      <c r="D13" s="14">
        <f>D12*12</f>
        <v>840000</v>
      </c>
      <c r="E13" s="16"/>
      <c r="F13" s="7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outlineLevel="1">
      <c r="A14" s="17"/>
      <c r="B14" s="19"/>
      <c r="C14" s="17" t="s">
        <v>74</v>
      </c>
      <c r="D14" s="34">
        <v>0.18</v>
      </c>
      <c r="E14" s="27" t="s">
        <v>70</v>
      </c>
      <c r="F14" s="7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outlineLevel="1">
      <c r="A15" s="17"/>
      <c r="B15" s="19"/>
      <c r="C15" s="20" t="s">
        <v>75</v>
      </c>
      <c r="D15" s="14">
        <f>D10*D14*D13</f>
        <v>15120000</v>
      </c>
      <c r="E15" s="16"/>
      <c r="F15" s="7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outlineLevel="1">
      <c r="A16" s="17"/>
      <c r="B16" s="19"/>
      <c r="C16" s="1" t="s">
        <v>78</v>
      </c>
      <c r="D16" s="14"/>
      <c r="E16" s="27"/>
      <c r="F16" s="7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outlineLevel="1">
      <c r="A17" s="17"/>
      <c r="B17" s="19"/>
      <c r="C17" s="20" t="s">
        <v>79</v>
      </c>
      <c r="D17" s="46">
        <f>D10/0.001</f>
        <v>100000</v>
      </c>
      <c r="E17" s="27"/>
      <c r="F17" s="7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outlineLevel="1">
      <c r="A18" s="17"/>
      <c r="B18" s="19"/>
      <c r="C18" s="20" t="s">
        <v>81</v>
      </c>
      <c r="D18" s="14">
        <f>D17*3.2</f>
        <v>320000</v>
      </c>
      <c r="E18" s="27"/>
      <c r="F18" s="7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outlineLevel="1">
      <c r="A19" s="17"/>
      <c r="B19" s="19"/>
      <c r="C19" s="20" t="s">
        <v>82</v>
      </c>
      <c r="D19" s="51">
        <f>D15+D18</f>
        <v>15440000</v>
      </c>
      <c r="E19" s="27"/>
      <c r="F19" s="7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outlineLevel="1">
      <c r="A20" s="17"/>
      <c r="B20" s="19"/>
      <c r="C20" s="63" t="s">
        <v>85</v>
      </c>
      <c r="D20" s="64"/>
      <c r="E20" s="65"/>
      <c r="F20" s="7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outlineLevel="1">
      <c r="A21" s="17"/>
      <c r="B21" s="19"/>
      <c r="C21" s="20" t="s">
        <v>88</v>
      </c>
      <c r="D21" s="14">
        <f>(D7-D8)*D4*D5*D6</f>
        <v>42624000</v>
      </c>
      <c r="E21" s="37"/>
      <c r="F21" s="7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outlineLevel="1">
      <c r="A22" s="17"/>
      <c r="B22" s="19"/>
      <c r="C22" s="20" t="s">
        <v>83</v>
      </c>
      <c r="D22" s="14">
        <v>1.0E7</v>
      </c>
      <c r="E22" s="27"/>
      <c r="F22" s="7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outlineLevel="1">
      <c r="A23" s="17"/>
      <c r="B23" s="19"/>
      <c r="C23" s="70" t="s">
        <v>95</v>
      </c>
      <c r="D23" s="14">
        <v>1.0E7</v>
      </c>
      <c r="E23" s="71" t="s">
        <v>96</v>
      </c>
      <c r="F23" s="7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outlineLevel="1">
      <c r="A24" s="17"/>
      <c r="B24" s="19"/>
      <c r="C24" s="32" t="s">
        <v>98</v>
      </c>
      <c r="D24" s="14">
        <f>((((300000*0.2)+(0.5*200000)+(100000*0.5)+(170000*0.5))*6)*1.6)</f>
        <v>2832000</v>
      </c>
      <c r="E24" s="52" t="s">
        <v>101</v>
      </c>
      <c r="F24" s="7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outlineLevel="1">
      <c r="A25" s="17"/>
      <c r="B25" s="19"/>
      <c r="C25" s="76" t="s">
        <v>103</v>
      </c>
      <c r="D25" s="79">
        <f>(D21+D22-SUM(D23:D24))/SUM(D23:D24)*100%</f>
        <v>3.100997506</v>
      </c>
      <c r="E25" s="16"/>
      <c r="F25" s="7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D26" s="8"/>
      <c r="E26" s="16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collapsed="1">
      <c r="A27" s="9"/>
      <c r="B27" s="10"/>
      <c r="C27" s="12" t="s">
        <v>108</v>
      </c>
      <c r="D27" s="28"/>
      <c r="E27" s="80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idden="1" outlineLevel="1">
      <c r="A28" s="9" t="s">
        <v>109</v>
      </c>
      <c r="B28" s="10" t="s">
        <v>29</v>
      </c>
      <c r="C28" s="82" t="s">
        <v>110</v>
      </c>
      <c r="D28" s="28"/>
      <c r="E28" s="80"/>
      <c r="F28" s="83" t="s">
        <v>111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idden="1" outlineLevel="1">
      <c r="A29" s="17"/>
      <c r="B29" s="17"/>
      <c r="C29" s="84" t="s">
        <v>116</v>
      </c>
      <c r="D29" s="85">
        <v>110000.0</v>
      </c>
      <c r="E29" s="80" t="s">
        <v>67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idden="1" outlineLevel="1">
      <c r="A30" s="17"/>
      <c r="B30" s="17"/>
      <c r="C30" s="86" t="s">
        <v>118</v>
      </c>
      <c r="D30" s="88">
        <f>D29*12</f>
        <v>1320000</v>
      </c>
      <c r="E30" s="80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idden="1" outlineLevel="1">
      <c r="A31" s="17"/>
      <c r="B31" s="17"/>
      <c r="C31" s="84" t="s">
        <v>122</v>
      </c>
      <c r="D31" s="90">
        <v>10000.0</v>
      </c>
      <c r="E31" s="80" t="s">
        <v>67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idden="1" outlineLevel="1">
      <c r="A32" s="17"/>
      <c r="B32" s="17"/>
      <c r="C32" s="84" t="s">
        <v>124</v>
      </c>
      <c r="D32" s="94">
        <f>D30*D31</f>
        <v>13200000000</v>
      </c>
      <c r="E32" s="80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idden="1" outlineLevel="1">
      <c r="A33" s="17"/>
      <c r="B33" s="17"/>
      <c r="C33" s="86" t="s">
        <v>129</v>
      </c>
      <c r="D33" s="94">
        <f>D32*3%</f>
        <v>396000000</v>
      </c>
      <c r="E33" s="98" t="s">
        <v>131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idden="1" outlineLevel="1">
      <c r="A34" s="17"/>
      <c r="B34" s="17"/>
      <c r="C34" s="86" t="s">
        <v>27</v>
      </c>
      <c r="D34" s="100">
        <f>(13%+30%+1/12+1/12/2+1/12/4)</f>
        <v>0.5758333333</v>
      </c>
      <c r="E34" s="102" t="s">
        <v>137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idden="1" outlineLevel="1">
      <c r="A35" s="17"/>
      <c r="B35" s="17"/>
      <c r="C35" s="86" t="s">
        <v>139</v>
      </c>
      <c r="D35" s="103">
        <f>D33*(1+D34)</f>
        <v>624030000</v>
      </c>
      <c r="E35" s="80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idden="1" outlineLevel="1">
      <c r="A36" s="17"/>
      <c r="B36" s="17"/>
      <c r="C36" s="13" t="s">
        <v>141</v>
      </c>
      <c r="D36" s="46"/>
      <c r="E36" s="16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idden="1" outlineLevel="1">
      <c r="A37" s="17"/>
      <c r="B37" s="17"/>
      <c r="C37" s="106" t="s">
        <v>122</v>
      </c>
      <c r="D37" s="107">
        <v>2500.0</v>
      </c>
      <c r="E37" s="16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idden="1" outlineLevel="1">
      <c r="A38" s="17"/>
      <c r="B38" s="93"/>
      <c r="C38" s="106" t="s">
        <v>143</v>
      </c>
      <c r="D38" s="109">
        <v>0.2</v>
      </c>
      <c r="E38" s="27" t="s">
        <v>67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idden="1" outlineLevel="1">
      <c r="A39" s="17"/>
      <c r="B39" s="17"/>
      <c r="C39" s="17" t="s">
        <v>144</v>
      </c>
      <c r="D39" s="96">
        <f>(69/3)%</f>
        <v>0.23</v>
      </c>
      <c r="E39" s="117" t="s">
        <v>145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idden="1" outlineLevel="1">
      <c r="A40" s="17"/>
      <c r="B40" s="93"/>
      <c r="C40" s="17" t="s">
        <v>148</v>
      </c>
      <c r="D40" s="96">
        <f>D38*(1-D39)</f>
        <v>0.154</v>
      </c>
      <c r="E40" s="119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idden="1" outlineLevel="1">
      <c r="A41" s="17"/>
      <c r="B41" s="19"/>
      <c r="C41" s="17" t="s">
        <v>149</v>
      </c>
      <c r="D41" s="19">
        <f>D37*(D38-D40)</f>
        <v>115</v>
      </c>
      <c r="E41" s="121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idden="1" outlineLevel="1">
      <c r="A42" s="20"/>
      <c r="B42" s="19"/>
      <c r="C42" s="1" t="s">
        <v>152</v>
      </c>
      <c r="D42" s="51">
        <v>100000.0</v>
      </c>
      <c r="E42" s="27" t="s">
        <v>67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idden="1" outlineLevel="1">
      <c r="A43" s="17"/>
      <c r="B43" s="96"/>
      <c r="C43" s="17" t="s">
        <v>153</v>
      </c>
      <c r="D43" s="96">
        <v>0.18</v>
      </c>
      <c r="E43" s="27" t="s">
        <v>70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idden="1" outlineLevel="1">
      <c r="A44" s="106"/>
      <c r="B44" s="125"/>
      <c r="C44" s="17" t="s">
        <v>154</v>
      </c>
      <c r="D44" s="93">
        <f>D42*12*D43</f>
        <v>216000</v>
      </c>
      <c r="E44" s="16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idden="1" outlineLevel="1">
      <c r="A45" s="17"/>
      <c r="B45" s="17"/>
      <c r="C45" s="20" t="s">
        <v>156</v>
      </c>
      <c r="D45" s="51">
        <f>D41*D44</f>
        <v>24840000</v>
      </c>
      <c r="E45" s="27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idden="1" outlineLevel="1">
      <c r="A46" s="17"/>
      <c r="B46" s="19"/>
      <c r="C46" s="13" t="s">
        <v>157</v>
      </c>
      <c r="D46" s="8"/>
      <c r="E46" s="16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idden="1" outlineLevel="1">
      <c r="A47" s="17"/>
      <c r="B47" s="93"/>
      <c r="C47" s="1" t="s">
        <v>102</v>
      </c>
      <c r="D47" s="51">
        <v>100000.0</v>
      </c>
      <c r="E47" s="27" t="s">
        <v>67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idden="1" outlineLevel="1">
      <c r="A48" s="17"/>
      <c r="B48" s="17"/>
      <c r="C48" s="20" t="s">
        <v>107</v>
      </c>
      <c r="D48" s="14">
        <f>D47*12</f>
        <v>1200000</v>
      </c>
      <c r="E48" s="27" t="s">
        <v>67</v>
      </c>
      <c r="F48" s="7"/>
      <c r="G48" s="51"/>
      <c r="H48" s="130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idden="1" outlineLevel="1">
      <c r="A49" s="17"/>
      <c r="B49" s="17"/>
      <c r="C49" s="17" t="s">
        <v>74</v>
      </c>
      <c r="D49" s="34">
        <v>0.18</v>
      </c>
      <c r="E49" s="27" t="s">
        <v>70</v>
      </c>
      <c r="F49" s="132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idden="1" outlineLevel="1">
      <c r="A50" s="17"/>
      <c r="B50" s="17"/>
      <c r="C50" s="20" t="s">
        <v>115</v>
      </c>
      <c r="D50" s="14">
        <f>D48*D49</f>
        <v>216000</v>
      </c>
      <c r="E50" s="27" t="s">
        <v>70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idden="1" outlineLevel="1">
      <c r="A51" s="17"/>
      <c r="B51" s="17"/>
      <c r="C51" s="20" t="s">
        <v>160</v>
      </c>
      <c r="D51" s="14">
        <f>D50*(43%/3)</f>
        <v>30960</v>
      </c>
      <c r="E51" s="138" t="s">
        <v>163</v>
      </c>
      <c r="F51" s="139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idden="1" outlineLevel="1">
      <c r="A52" s="20"/>
      <c r="B52" s="20"/>
      <c r="C52" s="1" t="s">
        <v>122</v>
      </c>
      <c r="D52" s="107">
        <v>2500.0</v>
      </c>
      <c r="E52" s="16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idden="1" outlineLevel="1">
      <c r="A53" s="20"/>
      <c r="B53" s="20"/>
      <c r="C53" s="20" t="s">
        <v>165</v>
      </c>
      <c r="D53" s="34">
        <v>0.1</v>
      </c>
      <c r="E53" s="16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idden="1" outlineLevel="1">
      <c r="A54" s="20"/>
      <c r="B54" s="20"/>
      <c r="C54" s="20" t="s">
        <v>132</v>
      </c>
      <c r="D54" s="46">
        <f>D52*D53</f>
        <v>250</v>
      </c>
      <c r="E54" s="16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idden="1" outlineLevel="1">
      <c r="A55" s="20"/>
      <c r="B55" s="20"/>
      <c r="C55" s="1" t="s">
        <v>166</v>
      </c>
      <c r="D55" s="51">
        <f>D51*D54</f>
        <v>7740000</v>
      </c>
      <c r="E55" s="16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idden="1" outlineLevel="1">
      <c r="A56" s="144"/>
      <c r="B56" s="145"/>
      <c r="C56" s="146" t="s">
        <v>168</v>
      </c>
      <c r="D56" s="147">
        <v>0.2</v>
      </c>
      <c r="E56" s="148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</row>
    <row r="57" hidden="1" outlineLevel="1">
      <c r="A57" s="144"/>
      <c r="B57" s="145"/>
      <c r="C57" s="146" t="s">
        <v>171</v>
      </c>
      <c r="D57" s="151">
        <f>(D55+D45+D35)*D56</f>
        <v>131322000</v>
      </c>
      <c r="E57" s="148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</row>
    <row r="58">
      <c r="A58" s="144"/>
      <c r="B58" s="145"/>
      <c r="C58" s="72"/>
      <c r="D58" s="149"/>
      <c r="E58" s="148"/>
      <c r="F58" s="149"/>
      <c r="G58" s="149"/>
      <c r="H58" s="149"/>
      <c r="I58" s="149"/>
      <c r="J58" s="149"/>
      <c r="K58" s="149"/>
      <c r="L58" s="149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</row>
    <row r="59">
      <c r="A59" s="9"/>
      <c r="B59" s="10"/>
      <c r="C59" s="12" t="s">
        <v>173</v>
      </c>
      <c r="D59" s="8"/>
      <c r="E59" s="16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outlineLevel="1">
      <c r="A60" s="9" t="s">
        <v>174</v>
      </c>
      <c r="B60" s="10" t="s">
        <v>175</v>
      </c>
      <c r="C60" s="13" t="s">
        <v>161</v>
      </c>
      <c r="D60" s="8"/>
      <c r="E60" s="16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outlineLevel="1">
      <c r="A61" s="17"/>
      <c r="B61" s="17"/>
      <c r="C61" s="1" t="s">
        <v>162</v>
      </c>
      <c r="D61" s="46">
        <v>500.0</v>
      </c>
      <c r="E61" s="16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outlineLevel="1">
      <c r="A62" s="17"/>
      <c r="B62" s="17"/>
      <c r="C62" s="1" t="s">
        <v>164</v>
      </c>
      <c r="D62" s="14">
        <v>150000.0</v>
      </c>
      <c r="E62" s="16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outlineLevel="1">
      <c r="A63" s="17"/>
      <c r="B63" s="17"/>
      <c r="C63" s="20" t="s">
        <v>27</v>
      </c>
      <c r="D63" s="43">
        <f>(13%+30%+1/12+1/12/2+1/12/2)</f>
        <v>0.5966666667</v>
      </c>
      <c r="E63" s="27" t="s">
        <v>36</v>
      </c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outlineLevel="1">
      <c r="A64" s="17"/>
      <c r="B64" s="17"/>
      <c r="C64" s="20" t="s">
        <v>167</v>
      </c>
      <c r="D64" s="14">
        <f>D62*1.6*D61</f>
        <v>120000000</v>
      </c>
      <c r="E64" s="16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outlineLevel="1">
      <c r="A65" s="17"/>
      <c r="B65" s="17"/>
      <c r="C65" s="1" t="s">
        <v>169</v>
      </c>
      <c r="D65" s="155">
        <v>0.125</v>
      </c>
      <c r="E65" s="158" t="s">
        <v>184</v>
      </c>
      <c r="F65" s="160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outlineLevel="1">
      <c r="A66" s="17"/>
      <c r="B66" s="17"/>
      <c r="C66" s="20" t="s">
        <v>161</v>
      </c>
      <c r="D66" s="161">
        <f>D64*D65</f>
        <v>15000000</v>
      </c>
      <c r="E66" s="16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outlineLevel="1">
      <c r="A67" s="17"/>
      <c r="B67" s="17"/>
      <c r="C67" s="13" t="s">
        <v>180</v>
      </c>
      <c r="D67" s="17"/>
      <c r="E67" s="164" t="s">
        <v>196</v>
      </c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outlineLevel="1">
      <c r="A68" s="17"/>
      <c r="B68" s="17"/>
      <c r="C68" s="1" t="s">
        <v>200</v>
      </c>
      <c r="D68" s="14">
        <v>1.0E11</v>
      </c>
      <c r="E68" s="167" t="s">
        <v>201</v>
      </c>
      <c r="F68" s="27"/>
      <c r="G68" s="139" t="s">
        <v>202</v>
      </c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outlineLevel="1">
      <c r="A69" s="17"/>
      <c r="B69" s="17"/>
      <c r="C69" s="20" t="s">
        <v>205</v>
      </c>
      <c r="D69" s="14">
        <f>D68*10%</f>
        <v>10000000000</v>
      </c>
      <c r="E69" s="167" t="s">
        <v>209</v>
      </c>
      <c r="F69" s="27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outlineLevel="1">
      <c r="A70" s="17"/>
      <c r="B70" s="17"/>
      <c r="C70" s="17" t="s">
        <v>192</v>
      </c>
      <c r="D70" s="168">
        <f>D69</f>
        <v>10000000000</v>
      </c>
      <c r="E70" s="164" t="s">
        <v>214</v>
      </c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outlineLevel="1">
      <c r="A71" s="17"/>
      <c r="B71" s="17"/>
      <c r="C71" s="13" t="s">
        <v>180</v>
      </c>
      <c r="D71" s="17"/>
      <c r="E71" s="169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outlineLevel="1">
      <c r="A72" s="17"/>
      <c r="B72" s="17"/>
      <c r="C72" s="20" t="s">
        <v>217</v>
      </c>
      <c r="D72" s="22">
        <v>10.0</v>
      </c>
      <c r="E72" s="169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outlineLevel="1">
      <c r="A73" s="17"/>
      <c r="B73" s="17"/>
      <c r="C73" s="20" t="s">
        <v>220</v>
      </c>
      <c r="D73" s="34">
        <v>0.2</v>
      </c>
      <c r="E73" s="167" t="s">
        <v>221</v>
      </c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outlineLevel="1">
      <c r="A74" s="17"/>
      <c r="B74" s="17"/>
      <c r="C74" s="20" t="s">
        <v>218</v>
      </c>
      <c r="D74" s="22">
        <v>1.0</v>
      </c>
      <c r="E74" s="169"/>
      <c r="F74" s="7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outlineLevel="1">
      <c r="A75" s="17"/>
      <c r="B75" s="17"/>
      <c r="C75" s="1" t="s">
        <v>225</v>
      </c>
      <c r="D75" s="14">
        <v>2.248625E9</v>
      </c>
      <c r="E75" s="174" t="s">
        <v>227</v>
      </c>
      <c r="F75" s="27"/>
      <c r="G75" s="139" t="s">
        <v>231</v>
      </c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outlineLevel="1">
      <c r="A76" s="17"/>
      <c r="B76" s="17"/>
      <c r="C76" s="17" t="s">
        <v>192</v>
      </c>
      <c r="D76" s="168">
        <f>D74*D75</f>
        <v>2248625000</v>
      </c>
      <c r="E76" s="16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outlineLevel="1">
      <c r="A77" s="17"/>
      <c r="B77" s="17"/>
      <c r="C77" s="13" t="s">
        <v>232</v>
      </c>
      <c r="D77" s="8"/>
      <c r="E77" s="27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outlineLevel="1">
      <c r="A78" s="17"/>
      <c r="B78" s="17"/>
      <c r="C78" s="20" t="s">
        <v>64</v>
      </c>
      <c r="D78" s="14">
        <v>250000.0</v>
      </c>
      <c r="E78" s="27" t="s">
        <v>70</v>
      </c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outlineLevel="1">
      <c r="A79" s="17"/>
      <c r="B79" s="17"/>
      <c r="C79" s="20" t="s">
        <v>68</v>
      </c>
      <c r="D79" s="132">
        <v>0.18</v>
      </c>
      <c r="E79" s="27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outlineLevel="1">
      <c r="A80" s="17"/>
      <c r="B80" s="17"/>
      <c r="C80" s="20" t="s">
        <v>236</v>
      </c>
      <c r="D80" s="127">
        <f>D78*12*0.18</f>
        <v>540000</v>
      </c>
      <c r="E80" s="27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outlineLevel="1">
      <c r="A81" s="17"/>
      <c r="B81" s="17"/>
      <c r="C81" s="78" t="s">
        <v>238</v>
      </c>
      <c r="D81" s="127">
        <f>D78*6</f>
        <v>1500000</v>
      </c>
      <c r="E81" s="182" t="s">
        <v>80</v>
      </c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outlineLevel="1">
      <c r="A82" s="17"/>
      <c r="B82" s="17"/>
      <c r="C82" s="78" t="s">
        <v>244</v>
      </c>
      <c r="D82" s="127">
        <f>D81*0.82</f>
        <v>1230000</v>
      </c>
      <c r="E82" s="182" t="s">
        <v>247</v>
      </c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outlineLevel="1">
      <c r="A83" s="17"/>
      <c r="B83" s="17"/>
      <c r="C83" s="78" t="s">
        <v>251</v>
      </c>
      <c r="D83" s="127">
        <f>D81-D82</f>
        <v>270000</v>
      </c>
      <c r="E83" s="27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outlineLevel="1">
      <c r="A84" s="17"/>
      <c r="B84" s="17"/>
      <c r="C84" s="78" t="s">
        <v>239</v>
      </c>
      <c r="D84" s="7">
        <v>5.0</v>
      </c>
      <c r="E84" s="27" t="s">
        <v>240</v>
      </c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outlineLevel="1">
      <c r="A85" s="17"/>
      <c r="B85" s="17"/>
      <c r="C85" s="185" t="s">
        <v>241</v>
      </c>
      <c r="D85" s="127">
        <f>(D80+D83)*D84</f>
        <v>4050000</v>
      </c>
      <c r="E85" s="27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outlineLevel="1">
      <c r="A86" s="188"/>
      <c r="B86" s="188"/>
      <c r="C86" s="146"/>
      <c r="D86" s="189"/>
      <c r="E86" s="190"/>
      <c r="F86" s="189"/>
      <c r="G86" s="189"/>
      <c r="H86" s="189"/>
      <c r="I86" s="189"/>
      <c r="J86" s="189"/>
      <c r="K86" s="189"/>
      <c r="L86" s="189"/>
      <c r="M86" s="189"/>
      <c r="N86" s="189"/>
      <c r="O86" s="189"/>
      <c r="P86" s="189"/>
      <c r="Q86" s="189"/>
      <c r="R86" s="189"/>
      <c r="S86" s="189"/>
      <c r="T86" s="189"/>
      <c r="U86" s="189"/>
      <c r="V86" s="189"/>
      <c r="W86" s="189"/>
      <c r="X86" s="189"/>
      <c r="Y86" s="189"/>
      <c r="Z86" s="189"/>
    </row>
    <row r="87" outlineLevel="1">
      <c r="A87" s="17"/>
      <c r="B87" s="17"/>
      <c r="C87" s="13" t="s">
        <v>261</v>
      </c>
      <c r="D87" s="8"/>
      <c r="E87" s="27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outlineLevel="1">
      <c r="A88" s="17"/>
      <c r="B88" s="17"/>
      <c r="C88" s="20" t="s">
        <v>161</v>
      </c>
      <c r="D88" s="127">
        <f>D66</f>
        <v>15000000</v>
      </c>
      <c r="E88" s="27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outlineLevel="1">
      <c r="A89" s="193"/>
      <c r="B89" s="16"/>
      <c r="C89" s="20" t="s">
        <v>264</v>
      </c>
      <c r="D89" s="127">
        <f>D70</f>
        <v>10000000000</v>
      </c>
      <c r="E89" s="16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outlineLevel="1">
      <c r="A90" s="193"/>
      <c r="B90" s="16"/>
      <c r="C90" s="20" t="s">
        <v>265</v>
      </c>
      <c r="D90" s="127">
        <f>D85</f>
        <v>4050000</v>
      </c>
      <c r="E90" s="16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outlineLevel="1">
      <c r="A91" s="144"/>
      <c r="B91" s="16"/>
      <c r="C91" s="195"/>
      <c r="D91" s="196"/>
      <c r="E91" s="65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outlineLevel="1">
      <c r="A92" s="193"/>
      <c r="B92" s="16"/>
      <c r="C92" s="197" t="s">
        <v>261</v>
      </c>
      <c r="D92" s="199">
        <f>SUM(D88:D90)</f>
        <v>10019050000</v>
      </c>
      <c r="E92" s="16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outlineLevel="1">
      <c r="A93" s="17"/>
      <c r="B93" s="17"/>
      <c r="C93" s="20" t="s">
        <v>195</v>
      </c>
      <c r="D93" s="200">
        <v>1.3E7</v>
      </c>
      <c r="E93" s="16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outlineLevel="1">
      <c r="A94" s="17"/>
      <c r="B94" s="17"/>
      <c r="C94" s="20" t="s">
        <v>198</v>
      </c>
      <c r="D94" s="200">
        <f>(((350000*0.2)+(100000)+(200000*0.25)*3)+(0.2*5*450000))*1.6</f>
        <v>1232000</v>
      </c>
      <c r="E94" s="27" t="s">
        <v>208</v>
      </c>
      <c r="F94" s="7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outlineLevel="1">
      <c r="A95" s="17"/>
      <c r="B95" s="17"/>
      <c r="C95" s="20" t="s">
        <v>151</v>
      </c>
      <c r="D95" s="200">
        <f>SUM(D93:D94)</f>
        <v>14232000</v>
      </c>
      <c r="E95" s="27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outlineLevel="1">
      <c r="A96" s="17"/>
      <c r="B96" s="17"/>
      <c r="C96" s="1" t="s">
        <v>155</v>
      </c>
      <c r="D96" s="203">
        <f>(D92-D95)/D95</f>
        <v>702.9804666</v>
      </c>
      <c r="E96" s="16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17"/>
      <c r="B97" s="17"/>
      <c r="C97" s="17"/>
      <c r="D97" s="8"/>
      <c r="E97" s="16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17"/>
      <c r="B98" s="17"/>
      <c r="C98" s="17"/>
      <c r="D98" s="8"/>
      <c r="E98" s="16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17"/>
      <c r="B99" s="17"/>
      <c r="C99" s="17"/>
      <c r="D99" s="8"/>
      <c r="E99" s="16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17"/>
      <c r="B100" s="17"/>
      <c r="C100" s="17"/>
      <c r="D100" s="8"/>
      <c r="E100" s="16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7"/>
      <c r="B101" s="17"/>
      <c r="C101" s="17"/>
      <c r="D101" s="8"/>
      <c r="E101" s="16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7"/>
      <c r="B102" s="17"/>
      <c r="C102" s="17"/>
      <c r="D102" s="8"/>
      <c r="E102" s="16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17"/>
      <c r="B103" s="17"/>
      <c r="C103" s="17"/>
      <c r="D103" s="8"/>
      <c r="E103" s="16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7"/>
      <c r="B104" s="17"/>
      <c r="C104" s="17"/>
      <c r="D104" s="8"/>
      <c r="E104" s="16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7"/>
      <c r="B105" s="17"/>
      <c r="C105" s="17"/>
      <c r="D105" s="8"/>
      <c r="E105" s="16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7"/>
      <c r="B106" s="17"/>
      <c r="C106" s="17"/>
      <c r="D106" s="8"/>
      <c r="E106" s="16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7"/>
      <c r="B107" s="17"/>
      <c r="C107" s="17"/>
      <c r="D107" s="8"/>
      <c r="E107" s="16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7"/>
      <c r="B108" s="17"/>
      <c r="C108" s="17"/>
      <c r="D108" s="8"/>
      <c r="E108" s="16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7"/>
      <c r="B109" s="17"/>
      <c r="C109" s="17"/>
      <c r="D109" s="8"/>
      <c r="E109" s="16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7"/>
      <c r="B110" s="17"/>
      <c r="C110" s="17"/>
      <c r="D110" s="8"/>
      <c r="E110" s="16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7"/>
      <c r="B111" s="17"/>
      <c r="C111" s="17"/>
      <c r="D111" s="8"/>
      <c r="E111" s="16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7"/>
      <c r="B112" s="17"/>
      <c r="C112" s="17"/>
      <c r="D112" s="8"/>
      <c r="E112" s="16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7"/>
      <c r="B113" s="17"/>
      <c r="C113" s="17"/>
      <c r="D113" s="8"/>
      <c r="E113" s="16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7"/>
      <c r="B114" s="17"/>
      <c r="C114" s="17"/>
      <c r="D114" s="8"/>
      <c r="E114" s="16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7"/>
      <c r="B115" s="17"/>
      <c r="C115" s="17"/>
      <c r="D115" s="8"/>
      <c r="E115" s="16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17"/>
      <c r="B116" s="17"/>
      <c r="C116" s="17"/>
      <c r="D116" s="8"/>
      <c r="E116" s="16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7"/>
      <c r="B117" s="17"/>
      <c r="C117" s="17"/>
      <c r="D117" s="8"/>
      <c r="E117" s="16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7"/>
      <c r="B118" s="17"/>
      <c r="C118" s="17"/>
      <c r="D118" s="8"/>
      <c r="E118" s="16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7"/>
      <c r="B119" s="17"/>
      <c r="C119" s="17"/>
      <c r="D119" s="8"/>
      <c r="E119" s="16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7"/>
      <c r="B120" s="17"/>
      <c r="C120" s="17"/>
      <c r="D120" s="8"/>
      <c r="E120" s="16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7"/>
      <c r="B121" s="17"/>
      <c r="C121" s="17"/>
      <c r="D121" s="8"/>
      <c r="E121" s="16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7"/>
      <c r="B122" s="17"/>
      <c r="C122" s="17"/>
      <c r="D122" s="8"/>
      <c r="E122" s="16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7"/>
      <c r="B123" s="17"/>
      <c r="C123" s="17"/>
      <c r="D123" s="8"/>
      <c r="E123" s="16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7"/>
      <c r="B124" s="17"/>
      <c r="C124" s="17"/>
      <c r="D124" s="8"/>
      <c r="E124" s="16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7"/>
      <c r="B125" s="17"/>
      <c r="C125" s="17"/>
      <c r="D125" s="8"/>
      <c r="E125" s="16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7"/>
      <c r="B126" s="17"/>
      <c r="C126" s="17"/>
      <c r="D126" s="8"/>
      <c r="E126" s="16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7"/>
      <c r="B127" s="17"/>
      <c r="C127" s="17"/>
      <c r="D127" s="8"/>
      <c r="E127" s="16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7"/>
      <c r="B128" s="17"/>
      <c r="C128" s="17"/>
      <c r="D128" s="8"/>
      <c r="E128" s="16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7"/>
      <c r="B129" s="17"/>
      <c r="C129" s="17"/>
      <c r="D129" s="8"/>
      <c r="E129" s="16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7"/>
      <c r="B130" s="17"/>
      <c r="C130" s="17"/>
      <c r="D130" s="8"/>
      <c r="E130" s="16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7"/>
      <c r="B131" s="17"/>
      <c r="C131" s="17"/>
      <c r="D131" s="8"/>
      <c r="E131" s="16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7"/>
      <c r="B132" s="17"/>
      <c r="C132" s="17"/>
      <c r="D132" s="8"/>
      <c r="E132" s="16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7"/>
      <c r="B133" s="17"/>
      <c r="C133" s="17"/>
      <c r="D133" s="8"/>
      <c r="E133" s="16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7"/>
      <c r="B134" s="17"/>
      <c r="C134" s="17"/>
      <c r="D134" s="8"/>
      <c r="E134" s="16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7"/>
      <c r="B135" s="17"/>
      <c r="C135" s="17"/>
      <c r="D135" s="8"/>
      <c r="E135" s="16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7"/>
      <c r="B136" s="17"/>
      <c r="C136" s="17"/>
      <c r="D136" s="8"/>
      <c r="E136" s="16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7"/>
      <c r="B137" s="17"/>
      <c r="C137" s="17"/>
      <c r="D137" s="8"/>
      <c r="E137" s="16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7"/>
      <c r="B138" s="17"/>
      <c r="C138" s="17"/>
      <c r="D138" s="8"/>
      <c r="E138" s="16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7"/>
      <c r="B139" s="17"/>
      <c r="C139" s="17"/>
      <c r="D139" s="8"/>
      <c r="E139" s="16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7"/>
      <c r="B140" s="17"/>
      <c r="C140" s="17"/>
      <c r="D140" s="8"/>
      <c r="E140" s="16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7"/>
      <c r="B141" s="17"/>
      <c r="C141" s="17"/>
      <c r="D141" s="8"/>
      <c r="E141" s="16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7"/>
      <c r="B142" s="17"/>
      <c r="C142" s="17"/>
      <c r="D142" s="8"/>
      <c r="E142" s="16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7"/>
      <c r="B143" s="17"/>
      <c r="C143" s="17"/>
      <c r="D143" s="8"/>
      <c r="E143" s="16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7"/>
      <c r="B144" s="17"/>
      <c r="C144" s="17"/>
      <c r="D144" s="8"/>
      <c r="E144" s="16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7"/>
      <c r="B145" s="17"/>
      <c r="C145" s="17"/>
      <c r="D145" s="8"/>
      <c r="E145" s="16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7"/>
      <c r="B146" s="17"/>
      <c r="C146" s="17"/>
      <c r="D146" s="8"/>
      <c r="E146" s="16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7"/>
      <c r="B147" s="17"/>
      <c r="C147" s="17"/>
      <c r="D147" s="8"/>
      <c r="E147" s="16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7"/>
      <c r="B148" s="17"/>
      <c r="C148" s="17"/>
      <c r="D148" s="8"/>
      <c r="E148" s="16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7"/>
      <c r="B149" s="17"/>
      <c r="C149" s="17"/>
      <c r="D149" s="8"/>
      <c r="E149" s="16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7"/>
      <c r="B150" s="17"/>
      <c r="C150" s="17"/>
      <c r="D150" s="8"/>
      <c r="E150" s="16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7"/>
      <c r="B151" s="17"/>
      <c r="C151" s="17"/>
      <c r="D151" s="8"/>
      <c r="E151" s="16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7"/>
      <c r="B152" s="17"/>
      <c r="C152" s="17"/>
      <c r="D152" s="8"/>
      <c r="E152" s="16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7"/>
      <c r="B153" s="17"/>
      <c r="C153" s="17"/>
      <c r="D153" s="8"/>
      <c r="E153" s="16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7"/>
      <c r="B154" s="17"/>
      <c r="C154" s="17"/>
      <c r="D154" s="8"/>
      <c r="E154" s="16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7"/>
      <c r="B155" s="17"/>
      <c r="C155" s="17"/>
      <c r="D155" s="8"/>
      <c r="E155" s="16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7"/>
      <c r="B156" s="17"/>
      <c r="C156" s="17"/>
      <c r="D156" s="8"/>
      <c r="E156" s="16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7"/>
      <c r="B157" s="17"/>
      <c r="C157" s="17"/>
      <c r="D157" s="8"/>
      <c r="E157" s="16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7"/>
      <c r="B158" s="17"/>
      <c r="C158" s="17"/>
      <c r="D158" s="8"/>
      <c r="E158" s="16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7"/>
      <c r="B159" s="17"/>
      <c r="C159" s="17"/>
      <c r="D159" s="8"/>
      <c r="E159" s="16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7"/>
      <c r="B160" s="17"/>
      <c r="C160" s="17"/>
      <c r="D160" s="8"/>
      <c r="E160" s="16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7"/>
      <c r="B161" s="17"/>
      <c r="C161" s="17"/>
      <c r="D161" s="8"/>
      <c r="E161" s="16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7"/>
      <c r="B162" s="17"/>
      <c r="C162" s="17"/>
      <c r="D162" s="8"/>
      <c r="E162" s="16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7"/>
      <c r="B163" s="17"/>
      <c r="C163" s="17"/>
      <c r="D163" s="8"/>
      <c r="E163" s="16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7"/>
      <c r="B164" s="17"/>
      <c r="C164" s="17"/>
      <c r="D164" s="8"/>
      <c r="E164" s="16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7"/>
      <c r="B165" s="17"/>
      <c r="C165" s="17"/>
      <c r="D165" s="8"/>
      <c r="E165" s="16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17"/>
      <c r="B166" s="17"/>
      <c r="C166" s="17"/>
      <c r="D166" s="8"/>
      <c r="E166" s="16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17"/>
      <c r="B167" s="17"/>
      <c r="C167" s="17"/>
      <c r="D167" s="8"/>
      <c r="E167" s="16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17"/>
      <c r="B168" s="17"/>
      <c r="C168" s="17"/>
      <c r="D168" s="8"/>
      <c r="E168" s="16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17"/>
      <c r="B169" s="17"/>
      <c r="C169" s="17"/>
      <c r="D169" s="8"/>
      <c r="E169" s="16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17"/>
      <c r="B170" s="17"/>
      <c r="C170" s="17"/>
      <c r="D170" s="8"/>
      <c r="E170" s="16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17"/>
      <c r="B171" s="17"/>
      <c r="C171" s="17"/>
      <c r="D171" s="8"/>
      <c r="E171" s="16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17"/>
      <c r="B172" s="17"/>
      <c r="C172" s="17"/>
      <c r="D172" s="8"/>
      <c r="E172" s="16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17"/>
      <c r="B173" s="17"/>
      <c r="C173" s="17"/>
      <c r="D173" s="8"/>
      <c r="E173" s="16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17"/>
      <c r="B174" s="17"/>
      <c r="C174" s="17"/>
      <c r="D174" s="8"/>
      <c r="E174" s="16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17"/>
      <c r="B175" s="17"/>
      <c r="C175" s="17"/>
      <c r="D175" s="8"/>
      <c r="E175" s="16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17"/>
      <c r="B176" s="17"/>
      <c r="C176" s="17"/>
      <c r="D176" s="8"/>
      <c r="E176" s="16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17"/>
      <c r="B177" s="17"/>
      <c r="C177" s="17"/>
      <c r="D177" s="8"/>
      <c r="E177" s="16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17"/>
      <c r="B178" s="17"/>
      <c r="C178" s="17"/>
      <c r="D178" s="8"/>
      <c r="E178" s="16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17"/>
      <c r="B179" s="17"/>
      <c r="C179" s="17"/>
      <c r="D179" s="8"/>
      <c r="E179" s="16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17"/>
      <c r="B180" s="17"/>
      <c r="C180" s="17"/>
      <c r="D180" s="8"/>
      <c r="E180" s="16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17"/>
      <c r="B181" s="17"/>
      <c r="C181" s="17"/>
      <c r="D181" s="8"/>
      <c r="E181" s="16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17"/>
      <c r="B182" s="17"/>
      <c r="C182" s="17"/>
      <c r="D182" s="8"/>
      <c r="E182" s="16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17"/>
      <c r="B183" s="17"/>
      <c r="C183" s="17"/>
      <c r="D183" s="8"/>
      <c r="E183" s="16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17"/>
      <c r="B184" s="17"/>
      <c r="C184" s="17"/>
      <c r="D184" s="8"/>
      <c r="E184" s="16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17"/>
      <c r="B185" s="17"/>
      <c r="C185" s="17"/>
      <c r="D185" s="8"/>
      <c r="E185" s="16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17"/>
      <c r="B186" s="17"/>
      <c r="C186" s="17"/>
      <c r="D186" s="8"/>
      <c r="E186" s="16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7"/>
      <c r="B187" s="17"/>
      <c r="C187" s="17"/>
      <c r="D187" s="8"/>
      <c r="E187" s="16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7"/>
      <c r="B188" s="17"/>
      <c r="C188" s="17"/>
      <c r="D188" s="8"/>
      <c r="E188" s="16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17"/>
      <c r="B189" s="17"/>
      <c r="C189" s="17"/>
      <c r="D189" s="8"/>
      <c r="E189" s="16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17"/>
      <c r="B190" s="17"/>
      <c r="C190" s="17"/>
      <c r="D190" s="8"/>
      <c r="E190" s="16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17"/>
      <c r="B191" s="17"/>
      <c r="C191" s="17"/>
      <c r="D191" s="8"/>
      <c r="E191" s="16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17"/>
      <c r="B192" s="17"/>
      <c r="C192" s="17"/>
      <c r="D192" s="8"/>
      <c r="E192" s="16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7"/>
      <c r="B193" s="17"/>
      <c r="C193" s="17"/>
      <c r="D193" s="8"/>
      <c r="E193" s="16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7"/>
      <c r="B194" s="17"/>
      <c r="C194" s="17"/>
      <c r="D194" s="8"/>
      <c r="E194" s="16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7"/>
      <c r="B195" s="17"/>
      <c r="C195" s="17"/>
      <c r="D195" s="8"/>
      <c r="E195" s="16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7"/>
      <c r="B196" s="17"/>
      <c r="C196" s="17"/>
      <c r="D196" s="8"/>
      <c r="E196" s="16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7"/>
      <c r="B197" s="17"/>
      <c r="C197" s="17"/>
      <c r="D197" s="8"/>
      <c r="E197" s="16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7"/>
      <c r="B198" s="17"/>
      <c r="C198" s="17"/>
      <c r="D198" s="8"/>
      <c r="E198" s="16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7"/>
      <c r="B199" s="17"/>
      <c r="C199" s="17"/>
      <c r="D199" s="8"/>
      <c r="E199" s="16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7"/>
      <c r="B200" s="17"/>
      <c r="C200" s="17"/>
      <c r="D200" s="8"/>
      <c r="E200" s="16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7"/>
      <c r="B201" s="17"/>
      <c r="C201" s="17"/>
      <c r="D201" s="8"/>
      <c r="E201" s="16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17"/>
      <c r="B202" s="17"/>
      <c r="C202" s="17"/>
      <c r="D202" s="8"/>
      <c r="E202" s="16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17"/>
      <c r="B203" s="17"/>
      <c r="C203" s="17"/>
      <c r="D203" s="8"/>
      <c r="E203" s="16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7"/>
      <c r="B204" s="17"/>
      <c r="C204" s="17"/>
      <c r="D204" s="8"/>
      <c r="E204" s="16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7"/>
      <c r="B205" s="17"/>
      <c r="C205" s="17"/>
      <c r="D205" s="8"/>
      <c r="E205" s="16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17"/>
      <c r="B206" s="17"/>
      <c r="C206" s="17"/>
      <c r="D206" s="8"/>
      <c r="E206" s="16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17"/>
      <c r="B207" s="17"/>
      <c r="C207" s="17"/>
      <c r="D207" s="8"/>
      <c r="E207" s="16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7"/>
      <c r="B208" s="17"/>
      <c r="C208" s="17"/>
      <c r="D208" s="8"/>
      <c r="E208" s="16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7"/>
      <c r="B209" s="17"/>
      <c r="C209" s="17"/>
      <c r="D209" s="8"/>
      <c r="E209" s="16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17"/>
      <c r="B210" s="17"/>
      <c r="C210" s="17"/>
      <c r="D210" s="8"/>
      <c r="E210" s="16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17"/>
      <c r="B211" s="17"/>
      <c r="C211" s="17"/>
      <c r="D211" s="8"/>
      <c r="E211" s="16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17"/>
      <c r="B212" s="17"/>
      <c r="C212" s="17"/>
      <c r="D212" s="8"/>
      <c r="E212" s="16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7"/>
      <c r="B213" s="17"/>
      <c r="C213" s="17"/>
      <c r="D213" s="8"/>
      <c r="E213" s="16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7"/>
      <c r="B214" s="17"/>
      <c r="C214" s="17"/>
      <c r="D214" s="8"/>
      <c r="E214" s="16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7"/>
      <c r="B215" s="17"/>
      <c r="C215" s="17"/>
      <c r="D215" s="8"/>
      <c r="E215" s="16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17"/>
      <c r="B216" s="17"/>
      <c r="C216" s="17"/>
      <c r="D216" s="8"/>
      <c r="E216" s="16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17"/>
      <c r="B217" s="17"/>
      <c r="C217" s="17"/>
      <c r="D217" s="8"/>
      <c r="E217" s="16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17"/>
      <c r="B218" s="17"/>
      <c r="C218" s="17"/>
      <c r="D218" s="8"/>
      <c r="E218" s="16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17"/>
      <c r="B219" s="17"/>
      <c r="C219" s="17"/>
      <c r="D219" s="8"/>
      <c r="E219" s="16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17"/>
      <c r="B220" s="17"/>
      <c r="C220" s="17"/>
      <c r="D220" s="8"/>
      <c r="E220" s="16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7"/>
      <c r="B221" s="17"/>
      <c r="C221" s="17"/>
      <c r="D221" s="8"/>
      <c r="E221" s="16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17"/>
      <c r="B222" s="17"/>
      <c r="C222" s="17"/>
      <c r="D222" s="8"/>
      <c r="E222" s="16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17"/>
      <c r="B223" s="17"/>
      <c r="C223" s="17"/>
      <c r="D223" s="8"/>
      <c r="E223" s="16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17"/>
      <c r="B224" s="17"/>
      <c r="C224" s="17"/>
      <c r="D224" s="8"/>
      <c r="E224" s="16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7"/>
      <c r="B225" s="17"/>
      <c r="C225" s="17"/>
      <c r="D225" s="8"/>
      <c r="E225" s="16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17"/>
      <c r="B226" s="17"/>
      <c r="C226" s="17"/>
      <c r="D226" s="8"/>
      <c r="E226" s="16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7"/>
      <c r="B227" s="17"/>
      <c r="C227" s="17"/>
      <c r="D227" s="8"/>
      <c r="E227" s="16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7"/>
      <c r="B228" s="17"/>
      <c r="C228" s="17"/>
      <c r="D228" s="8"/>
      <c r="E228" s="16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7"/>
      <c r="B229" s="17"/>
      <c r="C229" s="17"/>
      <c r="D229" s="8"/>
      <c r="E229" s="16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7"/>
      <c r="B230" s="17"/>
      <c r="C230" s="17"/>
      <c r="D230" s="8"/>
      <c r="E230" s="16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17"/>
      <c r="B231" s="17"/>
      <c r="C231" s="17"/>
      <c r="D231" s="8"/>
      <c r="E231" s="16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7"/>
      <c r="B232" s="17"/>
      <c r="C232" s="17"/>
      <c r="D232" s="8"/>
      <c r="E232" s="16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17"/>
      <c r="B233" s="17"/>
      <c r="C233" s="17"/>
      <c r="D233" s="8"/>
      <c r="E233" s="16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7"/>
      <c r="B234" s="17"/>
      <c r="C234" s="17"/>
      <c r="D234" s="8"/>
      <c r="E234" s="16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7"/>
      <c r="B235" s="17"/>
      <c r="C235" s="17"/>
      <c r="D235" s="8"/>
      <c r="E235" s="16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7"/>
      <c r="B236" s="17"/>
      <c r="C236" s="17"/>
      <c r="D236" s="8"/>
      <c r="E236" s="16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7"/>
      <c r="B237" s="17"/>
      <c r="C237" s="17"/>
      <c r="D237" s="8"/>
      <c r="E237" s="16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17"/>
      <c r="B238" s="17"/>
      <c r="C238" s="17"/>
      <c r="D238" s="8"/>
      <c r="E238" s="16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17"/>
      <c r="B239" s="17"/>
      <c r="C239" s="17"/>
      <c r="D239" s="8"/>
      <c r="E239" s="16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17"/>
      <c r="B240" s="17"/>
      <c r="C240" s="17"/>
      <c r="D240" s="8"/>
      <c r="E240" s="16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17"/>
      <c r="B241" s="17"/>
      <c r="C241" s="17"/>
      <c r="D241" s="8"/>
      <c r="E241" s="16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7"/>
      <c r="B242" s="17"/>
      <c r="C242" s="17"/>
      <c r="D242" s="8"/>
      <c r="E242" s="16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7"/>
      <c r="B243" s="17"/>
      <c r="C243" s="17"/>
      <c r="D243" s="8"/>
      <c r="E243" s="16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7"/>
      <c r="B244" s="17"/>
      <c r="C244" s="17"/>
      <c r="D244" s="8"/>
      <c r="E244" s="16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7"/>
      <c r="B245" s="17"/>
      <c r="C245" s="17"/>
      <c r="D245" s="8"/>
      <c r="E245" s="16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7"/>
      <c r="B246" s="17"/>
      <c r="C246" s="17"/>
      <c r="D246" s="8"/>
      <c r="E246" s="16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7"/>
      <c r="B247" s="17"/>
      <c r="C247" s="17"/>
      <c r="D247" s="8"/>
      <c r="E247" s="16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7"/>
      <c r="B248" s="17"/>
      <c r="C248" s="17"/>
      <c r="D248" s="8"/>
      <c r="E248" s="16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17"/>
      <c r="B249" s="17"/>
      <c r="C249" s="17"/>
      <c r="D249" s="8"/>
      <c r="E249" s="16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17"/>
      <c r="B250" s="17"/>
      <c r="C250" s="17"/>
      <c r="D250" s="8"/>
      <c r="E250" s="16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17"/>
      <c r="B251" s="17"/>
      <c r="C251" s="17"/>
      <c r="D251" s="8"/>
      <c r="E251" s="16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7"/>
      <c r="B252" s="17"/>
      <c r="C252" s="17"/>
      <c r="D252" s="8"/>
      <c r="E252" s="16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7"/>
      <c r="B253" s="17"/>
      <c r="C253" s="17"/>
      <c r="D253" s="8"/>
      <c r="E253" s="16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7"/>
      <c r="B254" s="17"/>
      <c r="C254" s="17"/>
      <c r="D254" s="8"/>
      <c r="E254" s="16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17"/>
      <c r="B255" s="17"/>
      <c r="C255" s="17"/>
      <c r="D255" s="8"/>
      <c r="E255" s="16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7"/>
      <c r="B256" s="17"/>
      <c r="C256" s="17"/>
      <c r="D256" s="8"/>
      <c r="E256" s="16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7"/>
      <c r="B257" s="17"/>
      <c r="C257" s="17"/>
      <c r="D257" s="8"/>
      <c r="E257" s="16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7"/>
      <c r="B258" s="17"/>
      <c r="C258" s="17"/>
      <c r="D258" s="8"/>
      <c r="E258" s="16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17"/>
      <c r="B259" s="17"/>
      <c r="C259" s="17"/>
      <c r="D259" s="8"/>
      <c r="E259" s="16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17"/>
      <c r="B260" s="17"/>
      <c r="C260" s="17"/>
      <c r="D260" s="8"/>
      <c r="E260" s="16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17"/>
      <c r="B261" s="17"/>
      <c r="C261" s="17"/>
      <c r="D261" s="8"/>
      <c r="E261" s="16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17"/>
      <c r="B262" s="17"/>
      <c r="C262" s="17"/>
      <c r="D262" s="8"/>
      <c r="E262" s="16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7"/>
      <c r="B263" s="17"/>
      <c r="C263" s="17"/>
      <c r="D263" s="8"/>
      <c r="E263" s="16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7"/>
      <c r="B264" s="17"/>
      <c r="C264" s="17"/>
      <c r="D264" s="8"/>
      <c r="E264" s="16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7"/>
      <c r="B265" s="17"/>
      <c r="C265" s="17"/>
      <c r="D265" s="8"/>
      <c r="E265" s="16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17"/>
      <c r="B266" s="17"/>
      <c r="C266" s="17"/>
      <c r="D266" s="8"/>
      <c r="E266" s="16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17"/>
      <c r="B267" s="17"/>
      <c r="C267" s="17"/>
      <c r="D267" s="8"/>
      <c r="E267" s="16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17"/>
      <c r="B268" s="17"/>
      <c r="C268" s="17"/>
      <c r="D268" s="8"/>
      <c r="E268" s="16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7"/>
      <c r="B269" s="17"/>
      <c r="C269" s="17"/>
      <c r="D269" s="8"/>
      <c r="E269" s="16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7"/>
      <c r="B270" s="17"/>
      <c r="C270" s="17"/>
      <c r="D270" s="8"/>
      <c r="E270" s="16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7"/>
      <c r="B271" s="17"/>
      <c r="C271" s="17"/>
      <c r="D271" s="8"/>
      <c r="E271" s="16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7"/>
      <c r="B272" s="17"/>
      <c r="C272" s="17"/>
      <c r="D272" s="8"/>
      <c r="E272" s="16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17"/>
      <c r="B273" s="17"/>
      <c r="C273" s="17"/>
      <c r="D273" s="8"/>
      <c r="E273" s="16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17"/>
      <c r="B274" s="17"/>
      <c r="C274" s="17"/>
      <c r="D274" s="8"/>
      <c r="E274" s="16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17"/>
      <c r="B275" s="17"/>
      <c r="C275" s="17"/>
      <c r="D275" s="8"/>
      <c r="E275" s="16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17"/>
      <c r="B276" s="17"/>
      <c r="C276" s="17"/>
      <c r="D276" s="8"/>
      <c r="E276" s="16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17"/>
      <c r="B277" s="17"/>
      <c r="C277" s="17"/>
      <c r="D277" s="8"/>
      <c r="E277" s="16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17"/>
      <c r="B278" s="17"/>
      <c r="C278" s="17"/>
      <c r="D278" s="8"/>
      <c r="E278" s="16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17"/>
      <c r="B279" s="17"/>
      <c r="C279" s="17"/>
      <c r="D279" s="8"/>
      <c r="E279" s="16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17"/>
      <c r="B280" s="17"/>
      <c r="C280" s="17"/>
      <c r="D280" s="8"/>
      <c r="E280" s="16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17"/>
      <c r="B281" s="17"/>
      <c r="C281" s="17"/>
      <c r="D281" s="8"/>
      <c r="E281" s="16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17"/>
      <c r="B282" s="17"/>
      <c r="C282" s="17"/>
      <c r="D282" s="8"/>
      <c r="E282" s="16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17"/>
      <c r="B283" s="17"/>
      <c r="C283" s="17"/>
      <c r="D283" s="8"/>
      <c r="E283" s="16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17"/>
      <c r="B284" s="17"/>
      <c r="C284" s="17"/>
      <c r="D284" s="8"/>
      <c r="E284" s="16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17"/>
      <c r="B285" s="17"/>
      <c r="C285" s="17"/>
      <c r="D285" s="8"/>
      <c r="E285" s="16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17"/>
      <c r="B286" s="17"/>
      <c r="C286" s="17"/>
      <c r="D286" s="8"/>
      <c r="E286" s="16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17"/>
      <c r="B287" s="17"/>
      <c r="C287" s="17"/>
      <c r="D287" s="8"/>
      <c r="E287" s="16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17"/>
      <c r="B288" s="17"/>
      <c r="C288" s="17"/>
      <c r="D288" s="8"/>
      <c r="E288" s="16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17"/>
      <c r="B289" s="17"/>
      <c r="C289" s="17"/>
      <c r="D289" s="8"/>
      <c r="E289" s="16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17"/>
      <c r="B290" s="17"/>
      <c r="C290" s="17"/>
      <c r="D290" s="8"/>
      <c r="E290" s="16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17"/>
      <c r="B291" s="17"/>
      <c r="C291" s="17"/>
      <c r="D291" s="8"/>
      <c r="E291" s="16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17"/>
      <c r="B292" s="17"/>
      <c r="C292" s="17"/>
      <c r="D292" s="8"/>
      <c r="E292" s="16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17"/>
      <c r="B293" s="17"/>
      <c r="C293" s="17"/>
      <c r="D293" s="8"/>
      <c r="E293" s="16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17"/>
      <c r="B294" s="17"/>
      <c r="C294" s="17"/>
      <c r="D294" s="8"/>
      <c r="E294" s="16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17"/>
      <c r="B295" s="17"/>
      <c r="C295" s="17"/>
      <c r="D295" s="8"/>
      <c r="E295" s="16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17"/>
      <c r="B296" s="17"/>
      <c r="C296" s="17"/>
      <c r="D296" s="8"/>
      <c r="E296" s="16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17"/>
      <c r="B297" s="17"/>
      <c r="C297" s="17"/>
      <c r="D297" s="8"/>
      <c r="E297" s="16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17"/>
      <c r="B298" s="17"/>
      <c r="C298" s="17"/>
      <c r="D298" s="8"/>
      <c r="E298" s="16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17"/>
      <c r="B299" s="17"/>
      <c r="C299" s="17"/>
      <c r="D299" s="8"/>
      <c r="E299" s="16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17"/>
      <c r="B300" s="17"/>
      <c r="C300" s="17"/>
      <c r="D300" s="8"/>
      <c r="E300" s="16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17"/>
      <c r="B301" s="17"/>
      <c r="C301" s="17"/>
      <c r="D301" s="8"/>
      <c r="E301" s="16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17"/>
      <c r="B302" s="17"/>
      <c r="C302" s="17"/>
      <c r="D302" s="8"/>
      <c r="E302" s="16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17"/>
      <c r="B303" s="17"/>
      <c r="C303" s="17"/>
      <c r="D303" s="8"/>
      <c r="E303" s="16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17"/>
      <c r="B304" s="17"/>
      <c r="C304" s="17"/>
      <c r="D304" s="8"/>
      <c r="E304" s="16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17"/>
      <c r="B305" s="17"/>
      <c r="C305" s="17"/>
      <c r="D305" s="8"/>
      <c r="E305" s="16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17"/>
      <c r="B306" s="17"/>
      <c r="C306" s="17"/>
      <c r="D306" s="8"/>
      <c r="E306" s="16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17"/>
      <c r="B307" s="17"/>
      <c r="C307" s="17"/>
      <c r="D307" s="8"/>
      <c r="E307" s="16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17"/>
      <c r="B308" s="17"/>
      <c r="C308" s="17"/>
      <c r="D308" s="8"/>
      <c r="E308" s="16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17"/>
      <c r="B309" s="17"/>
      <c r="C309" s="17"/>
      <c r="D309" s="8"/>
      <c r="E309" s="16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17"/>
      <c r="B310" s="17"/>
      <c r="C310" s="17"/>
      <c r="D310" s="8"/>
      <c r="E310" s="16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17"/>
      <c r="B311" s="17"/>
      <c r="C311" s="17"/>
      <c r="D311" s="8"/>
      <c r="E311" s="16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17"/>
      <c r="B312" s="17"/>
      <c r="C312" s="17"/>
      <c r="D312" s="8"/>
      <c r="E312" s="16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17"/>
      <c r="B313" s="17"/>
      <c r="C313" s="17"/>
      <c r="D313" s="8"/>
      <c r="E313" s="16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17"/>
      <c r="B314" s="17"/>
      <c r="C314" s="17"/>
      <c r="D314" s="8"/>
      <c r="E314" s="16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17"/>
      <c r="B315" s="17"/>
      <c r="C315" s="17"/>
      <c r="D315" s="8"/>
      <c r="E315" s="16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17"/>
      <c r="B316" s="17"/>
      <c r="C316" s="17"/>
      <c r="D316" s="8"/>
      <c r="E316" s="16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17"/>
      <c r="B317" s="17"/>
      <c r="C317" s="17"/>
      <c r="D317" s="8"/>
      <c r="E317" s="16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17"/>
      <c r="B318" s="17"/>
      <c r="C318" s="17"/>
      <c r="D318" s="8"/>
      <c r="E318" s="16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17"/>
      <c r="B319" s="17"/>
      <c r="C319" s="17"/>
      <c r="D319" s="8"/>
      <c r="E319" s="16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17"/>
      <c r="B320" s="17"/>
      <c r="C320" s="17"/>
      <c r="D320" s="8"/>
      <c r="E320" s="16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7"/>
      <c r="B321" s="17"/>
      <c r="C321" s="17"/>
      <c r="D321" s="8"/>
      <c r="E321" s="16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17"/>
      <c r="B322" s="17"/>
      <c r="C322" s="17"/>
      <c r="D322" s="8"/>
      <c r="E322" s="16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17"/>
      <c r="B323" s="17"/>
      <c r="C323" s="17"/>
      <c r="D323" s="8"/>
      <c r="E323" s="16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17"/>
      <c r="B324" s="17"/>
      <c r="C324" s="17"/>
      <c r="D324" s="8"/>
      <c r="E324" s="16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17"/>
      <c r="B325" s="17"/>
      <c r="C325" s="17"/>
      <c r="D325" s="8"/>
      <c r="E325" s="16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17"/>
      <c r="B326" s="17"/>
      <c r="C326" s="17"/>
      <c r="D326" s="8"/>
      <c r="E326" s="16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17"/>
      <c r="B327" s="17"/>
      <c r="C327" s="17"/>
      <c r="D327" s="8"/>
      <c r="E327" s="16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17"/>
      <c r="B328" s="17"/>
      <c r="C328" s="17"/>
      <c r="D328" s="8"/>
      <c r="E328" s="16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17"/>
      <c r="B329" s="17"/>
      <c r="C329" s="17"/>
      <c r="D329" s="8"/>
      <c r="E329" s="16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17"/>
      <c r="B330" s="17"/>
      <c r="C330" s="17"/>
      <c r="D330" s="8"/>
      <c r="E330" s="16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17"/>
      <c r="B331" s="17"/>
      <c r="C331" s="17"/>
      <c r="D331" s="8"/>
      <c r="E331" s="16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17"/>
      <c r="B332" s="17"/>
      <c r="C332" s="17"/>
      <c r="D332" s="8"/>
      <c r="E332" s="16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17"/>
      <c r="B333" s="17"/>
      <c r="C333" s="17"/>
      <c r="D333" s="8"/>
      <c r="E333" s="16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17"/>
      <c r="B334" s="17"/>
      <c r="C334" s="17"/>
      <c r="D334" s="8"/>
      <c r="E334" s="16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17"/>
      <c r="B335" s="17"/>
      <c r="C335" s="17"/>
      <c r="D335" s="8"/>
      <c r="E335" s="16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17"/>
      <c r="B336" s="17"/>
      <c r="C336" s="17"/>
      <c r="D336" s="8"/>
      <c r="E336" s="16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17"/>
      <c r="B337" s="17"/>
      <c r="C337" s="17"/>
      <c r="D337" s="8"/>
      <c r="E337" s="16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17"/>
      <c r="B338" s="17"/>
      <c r="C338" s="17"/>
      <c r="D338" s="8"/>
      <c r="E338" s="16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17"/>
      <c r="B339" s="17"/>
      <c r="C339" s="17"/>
      <c r="D339" s="8"/>
      <c r="E339" s="16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17"/>
      <c r="B340" s="17"/>
      <c r="C340" s="17"/>
      <c r="D340" s="8"/>
      <c r="E340" s="16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17"/>
      <c r="B341" s="17"/>
      <c r="C341" s="17"/>
      <c r="D341" s="8"/>
      <c r="E341" s="16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17"/>
      <c r="B342" s="17"/>
      <c r="C342" s="17"/>
      <c r="D342" s="8"/>
      <c r="E342" s="16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17"/>
      <c r="B343" s="17"/>
      <c r="C343" s="17"/>
      <c r="D343" s="8"/>
      <c r="E343" s="16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17"/>
      <c r="B344" s="17"/>
      <c r="C344" s="17"/>
      <c r="D344" s="8"/>
      <c r="E344" s="16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17"/>
      <c r="B345" s="17"/>
      <c r="C345" s="17"/>
      <c r="D345" s="8"/>
      <c r="E345" s="16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17"/>
      <c r="B346" s="17"/>
      <c r="C346" s="17"/>
      <c r="D346" s="8"/>
      <c r="E346" s="16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17"/>
      <c r="B347" s="17"/>
      <c r="C347" s="17"/>
      <c r="D347" s="8"/>
      <c r="E347" s="16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17"/>
      <c r="B348" s="17"/>
      <c r="C348" s="17"/>
      <c r="D348" s="8"/>
      <c r="E348" s="16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17"/>
      <c r="B349" s="17"/>
      <c r="C349" s="17"/>
      <c r="D349" s="8"/>
      <c r="E349" s="16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17"/>
      <c r="B350" s="17"/>
      <c r="C350" s="17"/>
      <c r="D350" s="8"/>
      <c r="E350" s="16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17"/>
      <c r="B351" s="17"/>
      <c r="C351" s="17"/>
      <c r="D351" s="8"/>
      <c r="E351" s="16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17"/>
      <c r="B352" s="17"/>
      <c r="C352" s="17"/>
      <c r="D352" s="8"/>
      <c r="E352" s="16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17"/>
      <c r="B353" s="17"/>
      <c r="C353" s="17"/>
      <c r="D353" s="8"/>
      <c r="E353" s="16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17"/>
      <c r="B354" s="17"/>
      <c r="C354" s="17"/>
      <c r="D354" s="8"/>
      <c r="E354" s="16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17"/>
      <c r="B355" s="17"/>
      <c r="C355" s="17"/>
      <c r="D355" s="8"/>
      <c r="E355" s="16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17"/>
      <c r="B356" s="17"/>
      <c r="C356" s="17"/>
      <c r="D356" s="8"/>
      <c r="E356" s="16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17"/>
      <c r="B357" s="17"/>
      <c r="C357" s="17"/>
      <c r="D357" s="8"/>
      <c r="E357" s="16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17"/>
      <c r="B358" s="17"/>
      <c r="C358" s="17"/>
      <c r="D358" s="8"/>
      <c r="E358" s="16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17"/>
      <c r="B359" s="17"/>
      <c r="C359" s="17"/>
      <c r="D359" s="8"/>
      <c r="E359" s="16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17"/>
      <c r="B360" s="17"/>
      <c r="C360" s="17"/>
      <c r="D360" s="8"/>
      <c r="E360" s="16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17"/>
      <c r="B361" s="17"/>
      <c r="C361" s="17"/>
      <c r="D361" s="8"/>
      <c r="E361" s="16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17"/>
      <c r="B362" s="17"/>
      <c r="C362" s="17"/>
      <c r="D362" s="8"/>
      <c r="E362" s="16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17"/>
      <c r="B363" s="17"/>
      <c r="C363" s="17"/>
      <c r="D363" s="8"/>
      <c r="E363" s="16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17"/>
      <c r="B364" s="17"/>
      <c r="C364" s="17"/>
      <c r="D364" s="8"/>
      <c r="E364" s="16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17"/>
      <c r="B365" s="17"/>
      <c r="C365" s="17"/>
      <c r="D365" s="8"/>
      <c r="E365" s="16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17"/>
      <c r="B366" s="17"/>
      <c r="C366" s="17"/>
      <c r="D366" s="8"/>
      <c r="E366" s="16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17"/>
      <c r="B367" s="17"/>
      <c r="C367" s="17"/>
      <c r="D367" s="8"/>
      <c r="E367" s="16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17"/>
      <c r="B368" s="17"/>
      <c r="C368" s="17"/>
      <c r="D368" s="8"/>
      <c r="E368" s="16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17"/>
      <c r="B369" s="17"/>
      <c r="C369" s="17"/>
      <c r="D369" s="8"/>
      <c r="E369" s="16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17"/>
      <c r="B370" s="17"/>
      <c r="C370" s="17"/>
      <c r="D370" s="8"/>
      <c r="E370" s="16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17"/>
      <c r="B371" s="17"/>
      <c r="C371" s="17"/>
      <c r="D371" s="8"/>
      <c r="E371" s="16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17"/>
      <c r="B372" s="17"/>
      <c r="C372" s="17"/>
      <c r="D372" s="8"/>
      <c r="E372" s="16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17"/>
      <c r="B373" s="17"/>
      <c r="C373" s="17"/>
      <c r="D373" s="8"/>
      <c r="E373" s="16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17"/>
      <c r="B374" s="17"/>
      <c r="C374" s="17"/>
      <c r="D374" s="8"/>
      <c r="E374" s="16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17"/>
      <c r="B375" s="17"/>
      <c r="C375" s="17"/>
      <c r="D375" s="8"/>
      <c r="E375" s="16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17"/>
      <c r="B376" s="17"/>
      <c r="C376" s="17"/>
      <c r="D376" s="8"/>
      <c r="E376" s="16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17"/>
      <c r="B377" s="17"/>
      <c r="C377" s="17"/>
      <c r="D377" s="8"/>
      <c r="E377" s="16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17"/>
      <c r="B378" s="17"/>
      <c r="C378" s="17"/>
      <c r="D378" s="8"/>
      <c r="E378" s="16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17"/>
      <c r="B379" s="17"/>
      <c r="C379" s="17"/>
      <c r="D379" s="8"/>
      <c r="E379" s="16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17"/>
      <c r="B380" s="17"/>
      <c r="C380" s="17"/>
      <c r="D380" s="8"/>
      <c r="E380" s="16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17"/>
      <c r="B381" s="17"/>
      <c r="C381" s="17"/>
      <c r="D381" s="8"/>
      <c r="E381" s="16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17"/>
      <c r="B382" s="17"/>
      <c r="C382" s="17"/>
      <c r="D382" s="8"/>
      <c r="E382" s="16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17"/>
      <c r="B383" s="17"/>
      <c r="C383" s="17"/>
      <c r="D383" s="8"/>
      <c r="E383" s="16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17"/>
      <c r="B384" s="17"/>
      <c r="C384" s="17"/>
      <c r="D384" s="8"/>
      <c r="E384" s="16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17"/>
      <c r="B385" s="17"/>
      <c r="C385" s="17"/>
      <c r="D385" s="8"/>
      <c r="E385" s="16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17"/>
      <c r="B386" s="17"/>
      <c r="C386" s="17"/>
      <c r="D386" s="8"/>
      <c r="E386" s="16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17"/>
      <c r="B387" s="17"/>
      <c r="C387" s="17"/>
      <c r="D387" s="8"/>
      <c r="E387" s="16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17"/>
      <c r="B388" s="17"/>
      <c r="C388" s="17"/>
      <c r="D388" s="8"/>
      <c r="E388" s="16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17"/>
      <c r="B389" s="17"/>
      <c r="C389" s="17"/>
      <c r="D389" s="8"/>
      <c r="E389" s="16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17"/>
      <c r="B390" s="17"/>
      <c r="C390" s="17"/>
      <c r="D390" s="8"/>
      <c r="E390" s="16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17"/>
      <c r="B391" s="17"/>
      <c r="C391" s="17"/>
      <c r="D391" s="8"/>
      <c r="E391" s="16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17"/>
      <c r="B392" s="17"/>
      <c r="C392" s="17"/>
      <c r="D392" s="8"/>
      <c r="E392" s="16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17"/>
      <c r="B393" s="17"/>
      <c r="C393" s="17"/>
      <c r="D393" s="8"/>
      <c r="E393" s="16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17"/>
      <c r="B394" s="17"/>
      <c r="C394" s="17"/>
      <c r="D394" s="8"/>
      <c r="E394" s="16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17"/>
      <c r="B395" s="17"/>
      <c r="C395" s="17"/>
      <c r="D395" s="8"/>
      <c r="E395" s="16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17"/>
      <c r="B396" s="17"/>
      <c r="C396" s="17"/>
      <c r="D396" s="8"/>
      <c r="E396" s="16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17"/>
      <c r="B397" s="17"/>
      <c r="C397" s="17"/>
      <c r="D397" s="8"/>
      <c r="E397" s="16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17"/>
      <c r="B398" s="17"/>
      <c r="C398" s="17"/>
      <c r="D398" s="8"/>
      <c r="E398" s="16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17"/>
      <c r="B399" s="17"/>
      <c r="C399" s="17"/>
      <c r="D399" s="8"/>
      <c r="E399" s="16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17"/>
      <c r="B400" s="17"/>
      <c r="C400" s="17"/>
      <c r="D400" s="8"/>
      <c r="E400" s="16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17"/>
      <c r="B401" s="17"/>
      <c r="C401" s="17"/>
      <c r="D401" s="8"/>
      <c r="E401" s="16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17"/>
      <c r="B402" s="17"/>
      <c r="C402" s="17"/>
      <c r="D402" s="8"/>
      <c r="E402" s="16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17"/>
      <c r="B403" s="17"/>
      <c r="C403" s="17"/>
      <c r="D403" s="8"/>
      <c r="E403" s="16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17"/>
      <c r="B404" s="17"/>
      <c r="C404" s="17"/>
      <c r="D404" s="8"/>
      <c r="E404" s="16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17"/>
      <c r="B405" s="17"/>
      <c r="C405" s="17"/>
      <c r="D405" s="8"/>
      <c r="E405" s="16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17"/>
      <c r="B406" s="17"/>
      <c r="C406" s="17"/>
      <c r="D406" s="8"/>
      <c r="E406" s="16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17"/>
      <c r="B407" s="17"/>
      <c r="C407" s="17"/>
      <c r="D407" s="8"/>
      <c r="E407" s="16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17"/>
      <c r="B408" s="17"/>
      <c r="C408" s="17"/>
      <c r="D408" s="8"/>
      <c r="E408" s="16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17"/>
      <c r="B409" s="17"/>
      <c r="C409" s="17"/>
      <c r="D409" s="8"/>
      <c r="E409" s="16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17"/>
      <c r="B410" s="17"/>
      <c r="C410" s="17"/>
      <c r="D410" s="8"/>
      <c r="E410" s="16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17"/>
      <c r="B411" s="17"/>
      <c r="C411" s="17"/>
      <c r="D411" s="8"/>
      <c r="E411" s="16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17"/>
      <c r="B412" s="17"/>
      <c r="C412" s="17"/>
      <c r="D412" s="8"/>
      <c r="E412" s="16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17"/>
      <c r="B413" s="17"/>
      <c r="C413" s="17"/>
      <c r="D413" s="8"/>
      <c r="E413" s="16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17"/>
      <c r="B414" s="17"/>
      <c r="C414" s="17"/>
      <c r="D414" s="8"/>
      <c r="E414" s="16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17"/>
      <c r="B415" s="17"/>
      <c r="C415" s="17"/>
      <c r="D415" s="8"/>
      <c r="E415" s="16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17"/>
      <c r="B416" s="17"/>
      <c r="C416" s="17"/>
      <c r="D416" s="8"/>
      <c r="E416" s="16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17"/>
      <c r="B417" s="17"/>
      <c r="C417" s="17"/>
      <c r="D417" s="8"/>
      <c r="E417" s="16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17"/>
      <c r="B418" s="17"/>
      <c r="C418" s="17"/>
      <c r="D418" s="8"/>
      <c r="E418" s="16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17"/>
      <c r="B419" s="17"/>
      <c r="C419" s="17"/>
      <c r="D419" s="8"/>
      <c r="E419" s="16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17"/>
      <c r="B420" s="17"/>
      <c r="C420" s="17"/>
      <c r="D420" s="8"/>
      <c r="E420" s="16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7"/>
      <c r="B421" s="17"/>
      <c r="C421" s="17"/>
      <c r="D421" s="8"/>
      <c r="E421" s="16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17"/>
      <c r="B422" s="17"/>
      <c r="C422" s="17"/>
      <c r="D422" s="8"/>
      <c r="E422" s="16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17"/>
      <c r="B423" s="17"/>
      <c r="C423" s="17"/>
      <c r="D423" s="8"/>
      <c r="E423" s="16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17"/>
      <c r="B424" s="17"/>
      <c r="C424" s="17"/>
      <c r="D424" s="8"/>
      <c r="E424" s="16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17"/>
      <c r="B425" s="17"/>
      <c r="C425" s="17"/>
      <c r="D425" s="8"/>
      <c r="E425" s="16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17"/>
      <c r="B426" s="17"/>
      <c r="C426" s="17"/>
      <c r="D426" s="8"/>
      <c r="E426" s="16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17"/>
      <c r="B427" s="17"/>
      <c r="C427" s="17"/>
      <c r="D427" s="8"/>
      <c r="E427" s="16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17"/>
      <c r="B428" s="17"/>
      <c r="C428" s="17"/>
      <c r="D428" s="8"/>
      <c r="E428" s="16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17"/>
      <c r="B429" s="17"/>
      <c r="C429" s="17"/>
      <c r="D429" s="8"/>
      <c r="E429" s="16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17"/>
      <c r="B430" s="17"/>
      <c r="C430" s="17"/>
      <c r="D430" s="8"/>
      <c r="E430" s="16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17"/>
      <c r="B431" s="17"/>
      <c r="C431" s="17"/>
      <c r="D431" s="8"/>
      <c r="E431" s="16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17"/>
      <c r="B432" s="17"/>
      <c r="C432" s="17"/>
      <c r="D432" s="8"/>
      <c r="E432" s="16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17"/>
      <c r="B433" s="17"/>
      <c r="C433" s="17"/>
      <c r="D433" s="8"/>
      <c r="E433" s="16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17"/>
      <c r="B434" s="17"/>
      <c r="C434" s="17"/>
      <c r="D434" s="8"/>
      <c r="E434" s="16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17"/>
      <c r="B435" s="17"/>
      <c r="C435" s="17"/>
      <c r="D435" s="8"/>
      <c r="E435" s="16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17"/>
      <c r="B436" s="17"/>
      <c r="C436" s="17"/>
      <c r="D436" s="8"/>
      <c r="E436" s="16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17"/>
      <c r="B437" s="17"/>
      <c r="C437" s="17"/>
      <c r="D437" s="8"/>
      <c r="E437" s="16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17"/>
      <c r="B438" s="17"/>
      <c r="C438" s="17"/>
      <c r="D438" s="8"/>
      <c r="E438" s="16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17"/>
      <c r="B439" s="17"/>
      <c r="C439" s="17"/>
      <c r="D439" s="8"/>
      <c r="E439" s="16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17"/>
      <c r="B440" s="17"/>
      <c r="C440" s="17"/>
      <c r="D440" s="8"/>
      <c r="E440" s="16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17"/>
      <c r="B441" s="17"/>
      <c r="C441" s="17"/>
      <c r="D441" s="8"/>
      <c r="E441" s="16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17"/>
      <c r="B442" s="17"/>
      <c r="C442" s="17"/>
      <c r="D442" s="8"/>
      <c r="E442" s="16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17"/>
      <c r="B443" s="17"/>
      <c r="C443" s="17"/>
      <c r="D443" s="8"/>
      <c r="E443" s="16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17"/>
      <c r="B444" s="17"/>
      <c r="C444" s="17"/>
      <c r="D444" s="8"/>
      <c r="E444" s="16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17"/>
      <c r="B445" s="17"/>
      <c r="C445" s="17"/>
      <c r="D445" s="8"/>
      <c r="E445" s="16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17"/>
      <c r="B446" s="17"/>
      <c r="C446" s="17"/>
      <c r="D446" s="8"/>
      <c r="E446" s="16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17"/>
      <c r="B447" s="17"/>
      <c r="C447" s="17"/>
      <c r="D447" s="8"/>
      <c r="E447" s="16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17"/>
      <c r="B448" s="17"/>
      <c r="C448" s="17"/>
      <c r="D448" s="8"/>
      <c r="E448" s="16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17"/>
      <c r="B449" s="17"/>
      <c r="C449" s="17"/>
      <c r="D449" s="8"/>
      <c r="E449" s="16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17"/>
      <c r="B450" s="17"/>
      <c r="C450" s="17"/>
      <c r="D450" s="8"/>
      <c r="E450" s="16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17"/>
      <c r="B451" s="17"/>
      <c r="C451" s="17"/>
      <c r="D451" s="8"/>
      <c r="E451" s="16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17"/>
      <c r="B452" s="17"/>
      <c r="C452" s="17"/>
      <c r="D452" s="8"/>
      <c r="E452" s="16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17"/>
      <c r="B453" s="17"/>
      <c r="C453" s="17"/>
      <c r="D453" s="8"/>
      <c r="E453" s="16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17"/>
      <c r="B454" s="17"/>
      <c r="C454" s="17"/>
      <c r="D454" s="8"/>
      <c r="E454" s="16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17"/>
      <c r="B455" s="17"/>
      <c r="C455" s="17"/>
      <c r="D455" s="8"/>
      <c r="E455" s="16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17"/>
      <c r="B456" s="17"/>
      <c r="C456" s="17"/>
      <c r="D456" s="8"/>
      <c r="E456" s="16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17"/>
      <c r="B457" s="17"/>
      <c r="C457" s="17"/>
      <c r="D457" s="8"/>
      <c r="E457" s="16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17"/>
      <c r="B458" s="17"/>
      <c r="C458" s="17"/>
      <c r="D458" s="8"/>
      <c r="E458" s="16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17"/>
      <c r="B459" s="17"/>
      <c r="C459" s="17"/>
      <c r="D459" s="8"/>
      <c r="E459" s="16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17"/>
      <c r="B460" s="17"/>
      <c r="C460" s="17"/>
      <c r="D460" s="8"/>
      <c r="E460" s="16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17"/>
      <c r="B461" s="17"/>
      <c r="C461" s="17"/>
      <c r="D461" s="8"/>
      <c r="E461" s="16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17"/>
      <c r="B462" s="17"/>
      <c r="C462" s="17"/>
      <c r="D462" s="8"/>
      <c r="E462" s="16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17"/>
      <c r="B463" s="17"/>
      <c r="C463" s="17"/>
      <c r="D463" s="8"/>
      <c r="E463" s="16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17"/>
      <c r="B464" s="17"/>
      <c r="C464" s="17"/>
      <c r="D464" s="8"/>
      <c r="E464" s="16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17"/>
      <c r="B465" s="17"/>
      <c r="C465" s="17"/>
      <c r="D465" s="8"/>
      <c r="E465" s="16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17"/>
      <c r="B466" s="17"/>
      <c r="C466" s="17"/>
      <c r="D466" s="8"/>
      <c r="E466" s="16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17"/>
      <c r="B467" s="17"/>
      <c r="C467" s="17"/>
      <c r="D467" s="8"/>
      <c r="E467" s="16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17"/>
      <c r="B468" s="17"/>
      <c r="C468" s="17"/>
      <c r="D468" s="8"/>
      <c r="E468" s="16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17"/>
      <c r="B469" s="17"/>
      <c r="C469" s="17"/>
      <c r="D469" s="8"/>
      <c r="E469" s="16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17"/>
      <c r="B470" s="17"/>
      <c r="C470" s="17"/>
      <c r="D470" s="8"/>
      <c r="E470" s="16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17"/>
      <c r="B471" s="17"/>
      <c r="C471" s="17"/>
      <c r="D471" s="8"/>
      <c r="E471" s="16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17"/>
      <c r="B472" s="17"/>
      <c r="C472" s="17"/>
      <c r="D472" s="8"/>
      <c r="E472" s="16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17"/>
      <c r="B473" s="17"/>
      <c r="C473" s="17"/>
      <c r="D473" s="8"/>
      <c r="E473" s="16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17"/>
      <c r="B474" s="17"/>
      <c r="C474" s="17"/>
      <c r="D474" s="8"/>
      <c r="E474" s="16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17"/>
      <c r="B475" s="17"/>
      <c r="C475" s="17"/>
      <c r="D475" s="8"/>
      <c r="E475" s="16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17"/>
      <c r="B476" s="17"/>
      <c r="C476" s="17"/>
      <c r="D476" s="8"/>
      <c r="E476" s="16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17"/>
      <c r="B477" s="17"/>
      <c r="C477" s="17"/>
      <c r="D477" s="8"/>
      <c r="E477" s="16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17"/>
      <c r="B478" s="17"/>
      <c r="C478" s="17"/>
      <c r="D478" s="8"/>
      <c r="E478" s="16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17"/>
      <c r="B479" s="17"/>
      <c r="C479" s="17"/>
      <c r="D479" s="8"/>
      <c r="E479" s="16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17"/>
      <c r="B480" s="17"/>
      <c r="C480" s="17"/>
      <c r="D480" s="8"/>
      <c r="E480" s="16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17"/>
      <c r="B481" s="17"/>
      <c r="C481" s="17"/>
      <c r="D481" s="8"/>
      <c r="E481" s="16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17"/>
      <c r="B482" s="17"/>
      <c r="C482" s="17"/>
      <c r="D482" s="8"/>
      <c r="E482" s="16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17"/>
      <c r="B483" s="17"/>
      <c r="C483" s="17"/>
      <c r="D483" s="8"/>
      <c r="E483" s="16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17"/>
      <c r="B484" s="17"/>
      <c r="C484" s="17"/>
      <c r="D484" s="8"/>
      <c r="E484" s="16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17"/>
      <c r="B485" s="17"/>
      <c r="C485" s="17"/>
      <c r="D485" s="8"/>
      <c r="E485" s="16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17"/>
      <c r="B486" s="17"/>
      <c r="C486" s="17"/>
      <c r="D486" s="8"/>
      <c r="E486" s="16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17"/>
      <c r="B487" s="17"/>
      <c r="C487" s="17"/>
      <c r="D487" s="8"/>
      <c r="E487" s="16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17"/>
      <c r="B488" s="17"/>
      <c r="C488" s="17"/>
      <c r="D488" s="8"/>
      <c r="E488" s="16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17"/>
      <c r="B489" s="17"/>
      <c r="C489" s="17"/>
      <c r="D489" s="8"/>
      <c r="E489" s="16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17"/>
      <c r="B490" s="17"/>
      <c r="C490" s="17"/>
      <c r="D490" s="8"/>
      <c r="E490" s="16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17"/>
      <c r="B491" s="17"/>
      <c r="C491" s="17"/>
      <c r="D491" s="8"/>
      <c r="E491" s="16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17"/>
      <c r="B492" s="17"/>
      <c r="C492" s="17"/>
      <c r="D492" s="8"/>
      <c r="E492" s="16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17"/>
      <c r="B493" s="17"/>
      <c r="C493" s="17"/>
      <c r="D493" s="8"/>
      <c r="E493" s="16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17"/>
      <c r="B494" s="17"/>
      <c r="C494" s="17"/>
      <c r="D494" s="8"/>
      <c r="E494" s="16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17"/>
      <c r="B495" s="17"/>
      <c r="C495" s="17"/>
      <c r="D495" s="8"/>
      <c r="E495" s="16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17"/>
      <c r="B496" s="17"/>
      <c r="C496" s="17"/>
      <c r="D496" s="8"/>
      <c r="E496" s="16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17"/>
      <c r="B497" s="17"/>
      <c r="C497" s="17"/>
      <c r="D497" s="8"/>
      <c r="E497" s="16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17"/>
      <c r="B498" s="17"/>
      <c r="C498" s="17"/>
      <c r="D498" s="8"/>
      <c r="E498" s="16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17"/>
      <c r="B499" s="17"/>
      <c r="C499" s="17"/>
      <c r="D499" s="8"/>
      <c r="E499" s="16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17"/>
      <c r="B500" s="17"/>
      <c r="C500" s="17"/>
      <c r="D500" s="8"/>
      <c r="E500" s="16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17"/>
      <c r="B501" s="17"/>
      <c r="C501" s="17"/>
      <c r="D501" s="8"/>
      <c r="E501" s="16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17"/>
      <c r="B502" s="17"/>
      <c r="C502" s="17"/>
      <c r="D502" s="8"/>
      <c r="E502" s="16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17"/>
      <c r="B503" s="17"/>
      <c r="C503" s="17"/>
      <c r="D503" s="8"/>
      <c r="E503" s="16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17"/>
      <c r="B504" s="17"/>
      <c r="C504" s="17"/>
      <c r="D504" s="8"/>
      <c r="E504" s="16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17"/>
      <c r="B505" s="17"/>
      <c r="C505" s="17"/>
      <c r="D505" s="8"/>
      <c r="E505" s="16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17"/>
      <c r="B506" s="17"/>
      <c r="C506" s="17"/>
      <c r="D506" s="8"/>
      <c r="E506" s="16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17"/>
      <c r="B507" s="17"/>
      <c r="C507" s="17"/>
      <c r="D507" s="8"/>
      <c r="E507" s="16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17"/>
      <c r="B508" s="17"/>
      <c r="C508" s="17"/>
      <c r="D508" s="8"/>
      <c r="E508" s="16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17"/>
      <c r="B509" s="17"/>
      <c r="C509" s="17"/>
      <c r="D509" s="8"/>
      <c r="E509" s="16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17"/>
      <c r="B510" s="17"/>
      <c r="C510" s="17"/>
      <c r="D510" s="8"/>
      <c r="E510" s="16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17"/>
      <c r="B511" s="17"/>
      <c r="C511" s="17"/>
      <c r="D511" s="8"/>
      <c r="E511" s="16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17"/>
      <c r="B512" s="17"/>
      <c r="C512" s="17"/>
      <c r="D512" s="8"/>
      <c r="E512" s="16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17"/>
      <c r="B513" s="17"/>
      <c r="C513" s="17"/>
      <c r="D513" s="8"/>
      <c r="E513" s="16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17"/>
      <c r="B514" s="17"/>
      <c r="C514" s="17"/>
      <c r="D514" s="8"/>
      <c r="E514" s="16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17"/>
      <c r="B515" s="17"/>
      <c r="C515" s="17"/>
      <c r="D515" s="8"/>
      <c r="E515" s="16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17"/>
      <c r="B516" s="17"/>
      <c r="C516" s="17"/>
      <c r="D516" s="8"/>
      <c r="E516" s="16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17"/>
      <c r="B517" s="17"/>
      <c r="C517" s="17"/>
      <c r="D517" s="8"/>
      <c r="E517" s="16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17"/>
      <c r="B518" s="17"/>
      <c r="C518" s="17"/>
      <c r="D518" s="8"/>
      <c r="E518" s="16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17"/>
      <c r="B519" s="17"/>
      <c r="C519" s="17"/>
      <c r="D519" s="8"/>
      <c r="E519" s="16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17"/>
      <c r="B520" s="17"/>
      <c r="C520" s="17"/>
      <c r="D520" s="8"/>
      <c r="E520" s="16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7"/>
      <c r="B521" s="17"/>
      <c r="C521" s="17"/>
      <c r="D521" s="8"/>
      <c r="E521" s="16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17"/>
      <c r="B522" s="17"/>
      <c r="C522" s="17"/>
      <c r="D522" s="8"/>
      <c r="E522" s="16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17"/>
      <c r="B523" s="17"/>
      <c r="C523" s="17"/>
      <c r="D523" s="8"/>
      <c r="E523" s="16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17"/>
      <c r="B524" s="17"/>
      <c r="C524" s="17"/>
      <c r="D524" s="8"/>
      <c r="E524" s="16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17"/>
      <c r="B525" s="17"/>
      <c r="C525" s="17"/>
      <c r="D525" s="8"/>
      <c r="E525" s="16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17"/>
      <c r="B526" s="17"/>
      <c r="C526" s="17"/>
      <c r="D526" s="8"/>
      <c r="E526" s="16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17"/>
      <c r="B527" s="17"/>
      <c r="C527" s="17"/>
      <c r="D527" s="8"/>
      <c r="E527" s="16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17"/>
      <c r="B528" s="17"/>
      <c r="C528" s="17"/>
      <c r="D528" s="8"/>
      <c r="E528" s="16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17"/>
      <c r="B529" s="17"/>
      <c r="C529" s="17"/>
      <c r="D529" s="8"/>
      <c r="E529" s="16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17"/>
      <c r="B530" s="17"/>
      <c r="C530" s="17"/>
      <c r="D530" s="8"/>
      <c r="E530" s="16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17"/>
      <c r="B531" s="17"/>
      <c r="C531" s="17"/>
      <c r="D531" s="8"/>
      <c r="E531" s="16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17"/>
      <c r="B532" s="17"/>
      <c r="C532" s="17"/>
      <c r="D532" s="8"/>
      <c r="E532" s="16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17"/>
      <c r="B533" s="17"/>
      <c r="C533" s="17"/>
      <c r="D533" s="8"/>
      <c r="E533" s="16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17"/>
      <c r="B534" s="17"/>
      <c r="C534" s="17"/>
      <c r="D534" s="8"/>
      <c r="E534" s="16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17"/>
      <c r="B535" s="17"/>
      <c r="C535" s="17"/>
      <c r="D535" s="8"/>
      <c r="E535" s="16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17"/>
      <c r="B536" s="17"/>
      <c r="C536" s="17"/>
      <c r="D536" s="8"/>
      <c r="E536" s="16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17"/>
      <c r="B537" s="17"/>
      <c r="C537" s="17"/>
      <c r="D537" s="8"/>
      <c r="E537" s="16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17"/>
      <c r="B538" s="17"/>
      <c r="C538" s="17"/>
      <c r="D538" s="8"/>
      <c r="E538" s="16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17"/>
      <c r="B539" s="17"/>
      <c r="C539" s="17"/>
      <c r="D539" s="8"/>
      <c r="E539" s="16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17"/>
      <c r="B540" s="17"/>
      <c r="C540" s="17"/>
      <c r="D540" s="8"/>
      <c r="E540" s="16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17"/>
      <c r="B541" s="17"/>
      <c r="C541" s="17"/>
      <c r="D541" s="8"/>
      <c r="E541" s="16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17"/>
      <c r="B542" s="17"/>
      <c r="C542" s="17"/>
      <c r="D542" s="8"/>
      <c r="E542" s="16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17"/>
      <c r="B543" s="17"/>
      <c r="C543" s="17"/>
      <c r="D543" s="8"/>
      <c r="E543" s="16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17"/>
      <c r="B544" s="17"/>
      <c r="C544" s="17"/>
      <c r="D544" s="8"/>
      <c r="E544" s="16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17"/>
      <c r="B545" s="17"/>
      <c r="C545" s="17"/>
      <c r="D545" s="8"/>
      <c r="E545" s="16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17"/>
      <c r="B546" s="17"/>
      <c r="C546" s="17"/>
      <c r="D546" s="8"/>
      <c r="E546" s="16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17"/>
      <c r="B547" s="17"/>
      <c r="C547" s="17"/>
      <c r="D547" s="8"/>
      <c r="E547" s="16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17"/>
      <c r="B548" s="17"/>
      <c r="C548" s="17"/>
      <c r="D548" s="8"/>
      <c r="E548" s="16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17"/>
      <c r="B549" s="17"/>
      <c r="C549" s="17"/>
      <c r="D549" s="8"/>
      <c r="E549" s="16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17"/>
      <c r="B550" s="17"/>
      <c r="C550" s="17"/>
      <c r="D550" s="8"/>
      <c r="E550" s="16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17"/>
      <c r="B551" s="17"/>
      <c r="C551" s="17"/>
      <c r="D551" s="8"/>
      <c r="E551" s="16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17"/>
      <c r="B552" s="17"/>
      <c r="C552" s="17"/>
      <c r="D552" s="8"/>
      <c r="E552" s="16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17"/>
      <c r="B553" s="17"/>
      <c r="C553" s="17"/>
      <c r="D553" s="8"/>
      <c r="E553" s="16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17"/>
      <c r="B554" s="17"/>
      <c r="C554" s="17"/>
      <c r="D554" s="8"/>
      <c r="E554" s="16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17"/>
      <c r="B555" s="17"/>
      <c r="C555" s="17"/>
      <c r="D555" s="8"/>
      <c r="E555" s="16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17"/>
      <c r="B556" s="17"/>
      <c r="C556" s="17"/>
      <c r="D556" s="8"/>
      <c r="E556" s="16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17"/>
      <c r="B557" s="17"/>
      <c r="C557" s="17"/>
      <c r="D557" s="8"/>
      <c r="E557" s="16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17"/>
      <c r="B558" s="17"/>
      <c r="C558" s="17"/>
      <c r="D558" s="8"/>
      <c r="E558" s="16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17"/>
      <c r="B559" s="17"/>
      <c r="C559" s="17"/>
      <c r="D559" s="8"/>
      <c r="E559" s="16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17"/>
      <c r="B560" s="17"/>
      <c r="C560" s="17"/>
      <c r="D560" s="8"/>
      <c r="E560" s="16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17"/>
      <c r="B561" s="17"/>
      <c r="C561" s="17"/>
      <c r="D561" s="8"/>
      <c r="E561" s="16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17"/>
      <c r="B562" s="17"/>
      <c r="C562" s="17"/>
      <c r="D562" s="8"/>
      <c r="E562" s="16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17"/>
      <c r="B563" s="17"/>
      <c r="C563" s="17"/>
      <c r="D563" s="8"/>
      <c r="E563" s="16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17"/>
      <c r="B564" s="17"/>
      <c r="C564" s="17"/>
      <c r="D564" s="8"/>
      <c r="E564" s="16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17"/>
      <c r="B565" s="17"/>
      <c r="C565" s="17"/>
      <c r="D565" s="8"/>
      <c r="E565" s="16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17"/>
      <c r="B566" s="17"/>
      <c r="C566" s="17"/>
      <c r="D566" s="8"/>
      <c r="E566" s="16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17"/>
      <c r="B567" s="17"/>
      <c r="C567" s="17"/>
      <c r="D567" s="8"/>
      <c r="E567" s="16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17"/>
      <c r="B568" s="17"/>
      <c r="C568" s="17"/>
      <c r="D568" s="8"/>
      <c r="E568" s="16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17"/>
      <c r="B569" s="17"/>
      <c r="C569" s="17"/>
      <c r="D569" s="8"/>
      <c r="E569" s="16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17"/>
      <c r="B570" s="17"/>
      <c r="C570" s="17"/>
      <c r="D570" s="8"/>
      <c r="E570" s="16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17"/>
      <c r="B571" s="17"/>
      <c r="C571" s="17"/>
      <c r="D571" s="8"/>
      <c r="E571" s="16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17"/>
      <c r="B572" s="17"/>
      <c r="C572" s="17"/>
      <c r="D572" s="8"/>
      <c r="E572" s="16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17"/>
      <c r="B573" s="17"/>
      <c r="C573" s="17"/>
      <c r="D573" s="8"/>
      <c r="E573" s="16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17"/>
      <c r="B574" s="17"/>
      <c r="C574" s="17"/>
      <c r="D574" s="8"/>
      <c r="E574" s="16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17"/>
      <c r="B575" s="17"/>
      <c r="C575" s="17"/>
      <c r="D575" s="8"/>
      <c r="E575" s="16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17"/>
      <c r="B576" s="17"/>
      <c r="C576" s="17"/>
      <c r="D576" s="8"/>
      <c r="E576" s="16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17"/>
      <c r="B577" s="17"/>
      <c r="C577" s="17"/>
      <c r="D577" s="8"/>
      <c r="E577" s="16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17"/>
      <c r="B578" s="17"/>
      <c r="C578" s="17"/>
      <c r="D578" s="8"/>
      <c r="E578" s="16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17"/>
      <c r="B579" s="17"/>
      <c r="C579" s="17"/>
      <c r="D579" s="8"/>
      <c r="E579" s="16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17"/>
      <c r="B580" s="17"/>
      <c r="C580" s="17"/>
      <c r="D580" s="8"/>
      <c r="E580" s="16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17"/>
      <c r="B581" s="17"/>
      <c r="C581" s="17"/>
      <c r="D581" s="8"/>
      <c r="E581" s="16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17"/>
      <c r="B582" s="17"/>
      <c r="C582" s="17"/>
      <c r="D582" s="8"/>
      <c r="E582" s="16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17"/>
      <c r="B583" s="17"/>
      <c r="C583" s="17"/>
      <c r="D583" s="8"/>
      <c r="E583" s="16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17"/>
      <c r="B584" s="17"/>
      <c r="C584" s="17"/>
      <c r="D584" s="8"/>
      <c r="E584" s="16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17"/>
      <c r="B585" s="17"/>
      <c r="C585" s="17"/>
      <c r="D585" s="8"/>
      <c r="E585" s="16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17"/>
      <c r="B586" s="17"/>
      <c r="C586" s="17"/>
      <c r="D586" s="8"/>
      <c r="E586" s="16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17"/>
      <c r="B587" s="17"/>
      <c r="C587" s="17"/>
      <c r="D587" s="8"/>
      <c r="E587" s="16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17"/>
      <c r="B588" s="17"/>
      <c r="C588" s="17"/>
      <c r="D588" s="8"/>
      <c r="E588" s="16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17"/>
      <c r="B589" s="17"/>
      <c r="C589" s="17"/>
      <c r="D589" s="8"/>
      <c r="E589" s="16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17"/>
      <c r="B590" s="17"/>
      <c r="C590" s="17"/>
      <c r="D590" s="8"/>
      <c r="E590" s="16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17"/>
      <c r="B591" s="17"/>
      <c r="C591" s="17"/>
      <c r="D591" s="8"/>
      <c r="E591" s="16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17"/>
      <c r="B592" s="17"/>
      <c r="C592" s="17"/>
      <c r="D592" s="8"/>
      <c r="E592" s="16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17"/>
      <c r="B593" s="17"/>
      <c r="C593" s="17"/>
      <c r="D593" s="8"/>
      <c r="E593" s="16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17"/>
      <c r="B594" s="17"/>
      <c r="C594" s="17"/>
      <c r="D594" s="8"/>
      <c r="E594" s="16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17"/>
      <c r="B595" s="17"/>
      <c r="C595" s="17"/>
      <c r="D595" s="8"/>
      <c r="E595" s="16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17"/>
      <c r="B596" s="17"/>
      <c r="C596" s="17"/>
      <c r="D596" s="8"/>
      <c r="E596" s="16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17"/>
      <c r="B597" s="17"/>
      <c r="C597" s="17"/>
      <c r="D597" s="8"/>
      <c r="E597" s="16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17"/>
      <c r="B598" s="17"/>
      <c r="C598" s="17"/>
      <c r="D598" s="8"/>
      <c r="E598" s="16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17"/>
      <c r="B599" s="17"/>
      <c r="C599" s="17"/>
      <c r="D599" s="8"/>
      <c r="E599" s="16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17"/>
      <c r="B600" s="17"/>
      <c r="C600" s="17"/>
      <c r="D600" s="8"/>
      <c r="E600" s="16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17"/>
      <c r="B601" s="17"/>
      <c r="C601" s="17"/>
      <c r="D601" s="8"/>
      <c r="E601" s="16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17"/>
      <c r="B602" s="17"/>
      <c r="C602" s="17"/>
      <c r="D602" s="8"/>
      <c r="E602" s="16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17"/>
      <c r="B603" s="17"/>
      <c r="C603" s="17"/>
      <c r="D603" s="8"/>
      <c r="E603" s="16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17"/>
      <c r="B604" s="17"/>
      <c r="C604" s="17"/>
      <c r="D604" s="8"/>
      <c r="E604" s="16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17"/>
      <c r="B605" s="17"/>
      <c r="C605" s="17"/>
      <c r="D605" s="8"/>
      <c r="E605" s="16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17"/>
      <c r="B606" s="17"/>
      <c r="C606" s="17"/>
      <c r="D606" s="8"/>
      <c r="E606" s="16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17"/>
      <c r="B607" s="17"/>
      <c r="C607" s="17"/>
      <c r="D607" s="8"/>
      <c r="E607" s="16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17"/>
      <c r="B608" s="17"/>
      <c r="C608" s="17"/>
      <c r="D608" s="8"/>
      <c r="E608" s="16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17"/>
      <c r="B609" s="17"/>
      <c r="C609" s="17"/>
      <c r="D609" s="8"/>
      <c r="E609" s="16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17"/>
      <c r="B610" s="17"/>
      <c r="C610" s="17"/>
      <c r="D610" s="8"/>
      <c r="E610" s="16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17"/>
      <c r="B611" s="17"/>
      <c r="C611" s="17"/>
      <c r="D611" s="8"/>
      <c r="E611" s="16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17"/>
      <c r="B612" s="17"/>
      <c r="C612" s="17"/>
      <c r="D612" s="8"/>
      <c r="E612" s="16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17"/>
      <c r="B613" s="17"/>
      <c r="C613" s="17"/>
      <c r="D613" s="8"/>
      <c r="E613" s="16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17"/>
      <c r="B614" s="17"/>
      <c r="C614" s="17"/>
      <c r="D614" s="8"/>
      <c r="E614" s="16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17"/>
      <c r="B615" s="17"/>
      <c r="C615" s="17"/>
      <c r="D615" s="8"/>
      <c r="E615" s="16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17"/>
      <c r="B616" s="17"/>
      <c r="C616" s="17"/>
      <c r="D616" s="8"/>
      <c r="E616" s="16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17"/>
      <c r="B617" s="17"/>
      <c r="C617" s="17"/>
      <c r="D617" s="8"/>
      <c r="E617" s="16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17"/>
      <c r="B618" s="17"/>
      <c r="C618" s="17"/>
      <c r="D618" s="8"/>
      <c r="E618" s="16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17"/>
      <c r="B619" s="17"/>
      <c r="C619" s="17"/>
      <c r="D619" s="8"/>
      <c r="E619" s="16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17"/>
      <c r="B620" s="17"/>
      <c r="C620" s="17"/>
      <c r="D620" s="8"/>
      <c r="E620" s="16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17"/>
      <c r="B621" s="17"/>
      <c r="C621" s="17"/>
      <c r="D621" s="8"/>
      <c r="E621" s="16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17"/>
      <c r="B622" s="17"/>
      <c r="C622" s="17"/>
      <c r="D622" s="8"/>
      <c r="E622" s="16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17"/>
      <c r="B623" s="17"/>
      <c r="C623" s="17"/>
      <c r="D623" s="8"/>
      <c r="E623" s="16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17"/>
      <c r="B624" s="17"/>
      <c r="C624" s="17"/>
      <c r="D624" s="8"/>
      <c r="E624" s="16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17"/>
      <c r="B625" s="17"/>
      <c r="C625" s="17"/>
      <c r="D625" s="8"/>
      <c r="E625" s="16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17"/>
      <c r="B626" s="17"/>
      <c r="C626" s="17"/>
      <c r="D626" s="8"/>
      <c r="E626" s="16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17"/>
      <c r="B627" s="17"/>
      <c r="C627" s="17"/>
      <c r="D627" s="8"/>
      <c r="E627" s="16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17"/>
      <c r="B628" s="17"/>
      <c r="C628" s="17"/>
      <c r="D628" s="8"/>
      <c r="E628" s="16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17"/>
      <c r="B629" s="17"/>
      <c r="C629" s="17"/>
      <c r="D629" s="8"/>
      <c r="E629" s="16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17"/>
      <c r="B630" s="17"/>
      <c r="C630" s="17"/>
      <c r="D630" s="8"/>
      <c r="E630" s="16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17"/>
      <c r="B631" s="17"/>
      <c r="C631" s="17"/>
      <c r="D631" s="8"/>
      <c r="E631" s="16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17"/>
      <c r="B632" s="17"/>
      <c r="C632" s="17"/>
      <c r="D632" s="8"/>
      <c r="E632" s="16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17"/>
      <c r="B633" s="17"/>
      <c r="C633" s="17"/>
      <c r="D633" s="8"/>
      <c r="E633" s="16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17"/>
      <c r="B634" s="17"/>
      <c r="C634" s="17"/>
      <c r="D634" s="8"/>
      <c r="E634" s="16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17"/>
      <c r="B635" s="17"/>
      <c r="C635" s="17"/>
      <c r="D635" s="8"/>
      <c r="E635" s="16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17"/>
      <c r="B636" s="17"/>
      <c r="C636" s="17"/>
      <c r="D636" s="8"/>
      <c r="E636" s="16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17"/>
      <c r="B637" s="17"/>
      <c r="C637" s="17"/>
      <c r="D637" s="8"/>
      <c r="E637" s="16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17"/>
      <c r="B638" s="17"/>
      <c r="C638" s="17"/>
      <c r="D638" s="8"/>
      <c r="E638" s="16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17"/>
      <c r="B639" s="17"/>
      <c r="C639" s="17"/>
      <c r="D639" s="8"/>
      <c r="E639" s="16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17"/>
      <c r="B640" s="17"/>
      <c r="C640" s="17"/>
      <c r="D640" s="8"/>
      <c r="E640" s="16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17"/>
      <c r="B641" s="17"/>
      <c r="C641" s="17"/>
      <c r="D641" s="8"/>
      <c r="E641" s="16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17"/>
      <c r="B642" s="17"/>
      <c r="C642" s="17"/>
      <c r="D642" s="8"/>
      <c r="E642" s="16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17"/>
      <c r="B643" s="17"/>
      <c r="C643" s="17"/>
      <c r="D643" s="8"/>
      <c r="E643" s="16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17"/>
      <c r="B644" s="17"/>
      <c r="C644" s="17"/>
      <c r="D644" s="8"/>
      <c r="E644" s="16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17"/>
      <c r="B645" s="17"/>
      <c r="C645" s="17"/>
      <c r="D645" s="8"/>
      <c r="E645" s="16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17"/>
      <c r="B646" s="17"/>
      <c r="C646" s="17"/>
      <c r="D646" s="8"/>
      <c r="E646" s="16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17"/>
      <c r="B647" s="17"/>
      <c r="C647" s="17"/>
      <c r="D647" s="8"/>
      <c r="E647" s="16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17"/>
      <c r="B648" s="17"/>
      <c r="C648" s="17"/>
      <c r="D648" s="8"/>
      <c r="E648" s="16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17"/>
      <c r="B649" s="17"/>
      <c r="C649" s="17"/>
      <c r="D649" s="8"/>
      <c r="E649" s="16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17"/>
      <c r="B650" s="17"/>
      <c r="C650" s="17"/>
      <c r="D650" s="8"/>
      <c r="E650" s="16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17"/>
      <c r="B651" s="17"/>
      <c r="C651" s="17"/>
      <c r="D651" s="8"/>
      <c r="E651" s="16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17"/>
      <c r="B652" s="17"/>
      <c r="C652" s="17"/>
      <c r="D652" s="8"/>
      <c r="E652" s="16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17"/>
      <c r="B653" s="17"/>
      <c r="C653" s="17"/>
      <c r="D653" s="8"/>
      <c r="E653" s="16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17"/>
      <c r="B654" s="17"/>
      <c r="C654" s="17"/>
      <c r="D654" s="8"/>
      <c r="E654" s="16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17"/>
      <c r="B655" s="17"/>
      <c r="C655" s="17"/>
      <c r="D655" s="8"/>
      <c r="E655" s="16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17"/>
      <c r="B656" s="17"/>
      <c r="C656" s="17"/>
      <c r="D656" s="8"/>
      <c r="E656" s="16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17"/>
      <c r="B657" s="17"/>
      <c r="C657" s="17"/>
      <c r="D657" s="8"/>
      <c r="E657" s="16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17"/>
      <c r="B658" s="17"/>
      <c r="C658" s="17"/>
      <c r="D658" s="8"/>
      <c r="E658" s="16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17"/>
      <c r="B659" s="17"/>
      <c r="C659" s="17"/>
      <c r="D659" s="8"/>
      <c r="E659" s="16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17"/>
      <c r="B660" s="17"/>
      <c r="C660" s="17"/>
      <c r="D660" s="8"/>
      <c r="E660" s="16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17"/>
      <c r="B661" s="17"/>
      <c r="C661" s="17"/>
      <c r="D661" s="8"/>
      <c r="E661" s="16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17"/>
      <c r="B662" s="17"/>
      <c r="C662" s="17"/>
      <c r="D662" s="8"/>
      <c r="E662" s="16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17"/>
      <c r="B663" s="17"/>
      <c r="C663" s="17"/>
      <c r="D663" s="8"/>
      <c r="E663" s="16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17"/>
      <c r="B664" s="17"/>
      <c r="C664" s="17"/>
      <c r="D664" s="8"/>
      <c r="E664" s="16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17"/>
      <c r="B665" s="17"/>
      <c r="C665" s="17"/>
      <c r="D665" s="8"/>
      <c r="E665" s="16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17"/>
      <c r="B666" s="17"/>
      <c r="C666" s="17"/>
      <c r="D666" s="8"/>
      <c r="E666" s="16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17"/>
      <c r="B667" s="17"/>
      <c r="C667" s="17"/>
      <c r="D667" s="8"/>
      <c r="E667" s="16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17"/>
      <c r="B668" s="17"/>
      <c r="C668" s="17"/>
      <c r="D668" s="8"/>
      <c r="E668" s="16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17"/>
      <c r="B669" s="17"/>
      <c r="C669" s="17"/>
      <c r="D669" s="8"/>
      <c r="E669" s="16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17"/>
      <c r="B670" s="17"/>
      <c r="C670" s="17"/>
      <c r="D670" s="8"/>
      <c r="E670" s="16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17"/>
      <c r="B671" s="17"/>
      <c r="C671" s="17"/>
      <c r="D671" s="8"/>
      <c r="E671" s="16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17"/>
      <c r="B672" s="17"/>
      <c r="C672" s="17"/>
      <c r="D672" s="8"/>
      <c r="E672" s="16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17"/>
      <c r="B673" s="17"/>
      <c r="C673" s="17"/>
      <c r="D673" s="8"/>
      <c r="E673" s="16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17"/>
      <c r="B674" s="17"/>
      <c r="C674" s="17"/>
      <c r="D674" s="8"/>
      <c r="E674" s="16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17"/>
      <c r="B675" s="17"/>
      <c r="C675" s="17"/>
      <c r="D675" s="8"/>
      <c r="E675" s="16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17"/>
      <c r="B676" s="17"/>
      <c r="C676" s="17"/>
      <c r="D676" s="8"/>
      <c r="E676" s="16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17"/>
      <c r="B677" s="17"/>
      <c r="C677" s="17"/>
      <c r="D677" s="8"/>
      <c r="E677" s="16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17"/>
      <c r="B678" s="17"/>
      <c r="C678" s="17"/>
      <c r="D678" s="8"/>
      <c r="E678" s="16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17"/>
      <c r="B679" s="17"/>
      <c r="C679" s="17"/>
      <c r="D679" s="8"/>
      <c r="E679" s="16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17"/>
      <c r="B680" s="17"/>
      <c r="C680" s="17"/>
      <c r="D680" s="8"/>
      <c r="E680" s="16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17"/>
      <c r="B681" s="17"/>
      <c r="C681" s="17"/>
      <c r="D681" s="8"/>
      <c r="E681" s="16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17"/>
      <c r="B682" s="17"/>
      <c r="C682" s="17"/>
      <c r="D682" s="8"/>
      <c r="E682" s="16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17"/>
      <c r="B683" s="17"/>
      <c r="C683" s="17"/>
      <c r="D683" s="8"/>
      <c r="E683" s="16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17"/>
      <c r="B684" s="17"/>
      <c r="C684" s="17"/>
      <c r="D684" s="8"/>
      <c r="E684" s="16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17"/>
      <c r="B685" s="17"/>
      <c r="C685" s="17"/>
      <c r="D685" s="8"/>
      <c r="E685" s="16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17"/>
      <c r="B686" s="17"/>
      <c r="C686" s="17"/>
      <c r="D686" s="8"/>
      <c r="E686" s="16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17"/>
      <c r="B687" s="17"/>
      <c r="C687" s="17"/>
      <c r="D687" s="8"/>
      <c r="E687" s="16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17"/>
      <c r="B688" s="17"/>
      <c r="C688" s="17"/>
      <c r="D688" s="8"/>
      <c r="E688" s="16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17"/>
      <c r="B689" s="17"/>
      <c r="C689" s="17"/>
      <c r="D689" s="8"/>
      <c r="E689" s="16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17"/>
      <c r="B690" s="17"/>
      <c r="C690" s="17"/>
      <c r="D690" s="8"/>
      <c r="E690" s="16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17"/>
      <c r="B691" s="17"/>
      <c r="C691" s="17"/>
      <c r="D691" s="8"/>
      <c r="E691" s="16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17"/>
      <c r="B692" s="17"/>
      <c r="C692" s="17"/>
      <c r="D692" s="8"/>
      <c r="E692" s="16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17"/>
      <c r="B693" s="17"/>
      <c r="C693" s="17"/>
      <c r="D693" s="8"/>
      <c r="E693" s="16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17"/>
      <c r="B694" s="17"/>
      <c r="C694" s="17"/>
      <c r="D694" s="8"/>
      <c r="E694" s="16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17"/>
      <c r="B695" s="17"/>
      <c r="C695" s="17"/>
      <c r="D695" s="8"/>
      <c r="E695" s="16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17"/>
      <c r="B696" s="17"/>
      <c r="C696" s="17"/>
      <c r="D696" s="8"/>
      <c r="E696" s="16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17"/>
      <c r="B697" s="17"/>
      <c r="C697" s="17"/>
      <c r="D697" s="8"/>
      <c r="E697" s="16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17"/>
      <c r="B698" s="17"/>
      <c r="C698" s="17"/>
      <c r="D698" s="8"/>
      <c r="E698" s="16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17"/>
      <c r="B699" s="17"/>
      <c r="C699" s="17"/>
      <c r="D699" s="8"/>
      <c r="E699" s="16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17"/>
      <c r="B700" s="17"/>
      <c r="C700" s="17"/>
      <c r="D700" s="8"/>
      <c r="E700" s="16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17"/>
      <c r="B701" s="17"/>
      <c r="C701" s="17"/>
      <c r="D701" s="8"/>
      <c r="E701" s="16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17"/>
      <c r="B702" s="17"/>
      <c r="C702" s="17"/>
      <c r="D702" s="8"/>
      <c r="E702" s="16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17"/>
      <c r="B703" s="17"/>
      <c r="C703" s="17"/>
      <c r="D703" s="8"/>
      <c r="E703" s="16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17"/>
      <c r="B704" s="17"/>
      <c r="C704" s="17"/>
      <c r="D704" s="8"/>
      <c r="E704" s="16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17"/>
      <c r="B705" s="17"/>
      <c r="C705" s="17"/>
      <c r="D705" s="8"/>
      <c r="E705" s="16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17"/>
      <c r="B706" s="17"/>
      <c r="C706" s="17"/>
      <c r="D706" s="8"/>
      <c r="E706" s="16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17"/>
      <c r="B707" s="17"/>
      <c r="C707" s="17"/>
      <c r="D707" s="8"/>
      <c r="E707" s="16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17"/>
      <c r="B708" s="17"/>
      <c r="C708" s="17"/>
      <c r="D708" s="8"/>
      <c r="E708" s="16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17"/>
      <c r="B709" s="17"/>
      <c r="C709" s="17"/>
      <c r="D709" s="8"/>
      <c r="E709" s="16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17"/>
      <c r="B710" s="17"/>
      <c r="C710" s="17"/>
      <c r="D710" s="8"/>
      <c r="E710" s="16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17"/>
      <c r="B711" s="17"/>
      <c r="C711" s="17"/>
      <c r="D711" s="8"/>
      <c r="E711" s="16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17"/>
      <c r="B712" s="17"/>
      <c r="C712" s="17"/>
      <c r="D712" s="8"/>
      <c r="E712" s="16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17"/>
      <c r="B713" s="17"/>
      <c r="C713" s="17"/>
      <c r="D713" s="8"/>
      <c r="E713" s="16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17"/>
      <c r="B714" s="17"/>
      <c r="C714" s="17"/>
      <c r="D714" s="8"/>
      <c r="E714" s="16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17"/>
      <c r="B715" s="17"/>
      <c r="C715" s="17"/>
      <c r="D715" s="8"/>
      <c r="E715" s="16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17"/>
      <c r="B716" s="17"/>
      <c r="C716" s="17"/>
      <c r="D716" s="8"/>
      <c r="E716" s="16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17"/>
      <c r="B717" s="17"/>
      <c r="C717" s="17"/>
      <c r="D717" s="8"/>
      <c r="E717" s="16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17"/>
      <c r="B718" s="17"/>
      <c r="C718" s="17"/>
      <c r="D718" s="8"/>
      <c r="E718" s="16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17"/>
      <c r="B719" s="17"/>
      <c r="C719" s="17"/>
      <c r="D719" s="8"/>
      <c r="E719" s="16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17"/>
      <c r="B720" s="17"/>
      <c r="C720" s="17"/>
      <c r="D720" s="8"/>
      <c r="E720" s="16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17"/>
      <c r="B721" s="17"/>
      <c r="C721" s="17"/>
      <c r="D721" s="8"/>
      <c r="E721" s="16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17"/>
      <c r="B722" s="17"/>
      <c r="C722" s="17"/>
      <c r="D722" s="8"/>
      <c r="E722" s="16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17"/>
      <c r="B723" s="17"/>
      <c r="C723" s="17"/>
      <c r="D723" s="8"/>
      <c r="E723" s="16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17"/>
      <c r="B724" s="17"/>
      <c r="C724" s="17"/>
      <c r="D724" s="8"/>
      <c r="E724" s="16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17"/>
      <c r="B725" s="17"/>
      <c r="C725" s="17"/>
      <c r="D725" s="8"/>
      <c r="E725" s="16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17"/>
      <c r="B726" s="17"/>
      <c r="C726" s="17"/>
      <c r="D726" s="8"/>
      <c r="E726" s="16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17"/>
      <c r="B727" s="17"/>
      <c r="C727" s="17"/>
      <c r="D727" s="8"/>
      <c r="E727" s="16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17"/>
      <c r="B728" s="17"/>
      <c r="C728" s="17"/>
      <c r="D728" s="8"/>
      <c r="E728" s="16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17"/>
      <c r="B729" s="17"/>
      <c r="C729" s="17"/>
      <c r="D729" s="8"/>
      <c r="E729" s="16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17"/>
      <c r="B730" s="17"/>
      <c r="C730" s="17"/>
      <c r="D730" s="8"/>
      <c r="E730" s="16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17"/>
      <c r="B731" s="17"/>
      <c r="C731" s="17"/>
      <c r="D731" s="8"/>
      <c r="E731" s="16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17"/>
      <c r="B732" s="17"/>
      <c r="C732" s="17"/>
      <c r="D732" s="8"/>
      <c r="E732" s="16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17"/>
      <c r="B733" s="17"/>
      <c r="C733" s="17"/>
      <c r="D733" s="8"/>
      <c r="E733" s="16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17"/>
      <c r="B734" s="17"/>
      <c r="C734" s="17"/>
      <c r="D734" s="8"/>
      <c r="E734" s="16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17"/>
      <c r="B735" s="17"/>
      <c r="C735" s="17"/>
      <c r="D735" s="8"/>
      <c r="E735" s="16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17"/>
      <c r="B736" s="17"/>
      <c r="C736" s="17"/>
      <c r="D736" s="8"/>
      <c r="E736" s="16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17"/>
      <c r="B737" s="17"/>
      <c r="C737" s="17"/>
      <c r="D737" s="8"/>
      <c r="E737" s="16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17"/>
      <c r="B738" s="17"/>
      <c r="C738" s="17"/>
      <c r="D738" s="8"/>
      <c r="E738" s="16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17"/>
      <c r="B739" s="17"/>
      <c r="C739" s="17"/>
      <c r="D739" s="8"/>
      <c r="E739" s="16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17"/>
      <c r="B740" s="17"/>
      <c r="C740" s="17"/>
      <c r="D740" s="8"/>
      <c r="E740" s="16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17"/>
      <c r="B741" s="17"/>
      <c r="C741" s="17"/>
      <c r="D741" s="8"/>
      <c r="E741" s="16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17"/>
      <c r="B742" s="17"/>
      <c r="C742" s="17"/>
      <c r="D742" s="8"/>
      <c r="E742" s="16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17"/>
      <c r="B743" s="17"/>
      <c r="C743" s="17"/>
      <c r="D743" s="8"/>
      <c r="E743" s="16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17"/>
      <c r="B744" s="17"/>
      <c r="C744" s="17"/>
      <c r="D744" s="8"/>
      <c r="E744" s="16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17"/>
      <c r="B745" s="17"/>
      <c r="C745" s="17"/>
      <c r="D745" s="8"/>
      <c r="E745" s="16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17"/>
      <c r="B746" s="17"/>
      <c r="C746" s="17"/>
      <c r="D746" s="8"/>
      <c r="E746" s="16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17"/>
      <c r="B747" s="17"/>
      <c r="C747" s="17"/>
      <c r="D747" s="8"/>
      <c r="E747" s="16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17"/>
      <c r="B748" s="17"/>
      <c r="C748" s="17"/>
      <c r="D748" s="8"/>
      <c r="E748" s="16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17"/>
      <c r="B749" s="17"/>
      <c r="C749" s="17"/>
      <c r="D749" s="8"/>
      <c r="E749" s="16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17"/>
      <c r="B750" s="17"/>
      <c r="C750" s="17"/>
      <c r="D750" s="8"/>
      <c r="E750" s="16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17"/>
      <c r="B751" s="17"/>
      <c r="C751" s="17"/>
      <c r="D751" s="8"/>
      <c r="E751" s="16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17"/>
      <c r="B752" s="17"/>
      <c r="C752" s="17"/>
      <c r="D752" s="8"/>
      <c r="E752" s="16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17"/>
      <c r="B753" s="17"/>
      <c r="C753" s="17"/>
      <c r="D753" s="8"/>
      <c r="E753" s="16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17"/>
      <c r="B754" s="17"/>
      <c r="C754" s="17"/>
      <c r="D754" s="8"/>
      <c r="E754" s="16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17"/>
      <c r="B755" s="17"/>
      <c r="C755" s="17"/>
      <c r="D755" s="8"/>
      <c r="E755" s="16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17"/>
      <c r="B756" s="17"/>
      <c r="C756" s="17"/>
      <c r="D756" s="8"/>
      <c r="E756" s="16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17"/>
      <c r="B757" s="17"/>
      <c r="C757" s="17"/>
      <c r="D757" s="8"/>
      <c r="E757" s="16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17"/>
      <c r="B758" s="17"/>
      <c r="C758" s="17"/>
      <c r="D758" s="8"/>
      <c r="E758" s="16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17"/>
      <c r="B759" s="17"/>
      <c r="C759" s="17"/>
      <c r="D759" s="8"/>
      <c r="E759" s="16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17"/>
      <c r="B760" s="17"/>
      <c r="C760" s="17"/>
      <c r="D760" s="8"/>
      <c r="E760" s="16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17"/>
      <c r="B761" s="17"/>
      <c r="C761" s="17"/>
      <c r="D761" s="8"/>
      <c r="E761" s="16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17"/>
      <c r="B762" s="17"/>
      <c r="C762" s="17"/>
      <c r="D762" s="8"/>
      <c r="E762" s="16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17"/>
      <c r="B763" s="17"/>
      <c r="C763" s="17"/>
      <c r="D763" s="8"/>
      <c r="E763" s="16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17"/>
      <c r="B764" s="17"/>
      <c r="C764" s="17"/>
      <c r="D764" s="8"/>
      <c r="E764" s="16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17"/>
      <c r="B765" s="17"/>
      <c r="C765" s="17"/>
      <c r="D765" s="8"/>
      <c r="E765" s="16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17"/>
      <c r="B766" s="17"/>
      <c r="C766" s="17"/>
      <c r="D766" s="8"/>
      <c r="E766" s="16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17"/>
      <c r="B767" s="17"/>
      <c r="C767" s="17"/>
      <c r="D767" s="8"/>
      <c r="E767" s="16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17"/>
      <c r="B768" s="17"/>
      <c r="C768" s="17"/>
      <c r="D768" s="8"/>
      <c r="E768" s="16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17"/>
      <c r="B769" s="17"/>
      <c r="C769" s="17"/>
      <c r="D769" s="8"/>
      <c r="E769" s="16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17"/>
      <c r="B770" s="17"/>
      <c r="C770" s="17"/>
      <c r="D770" s="8"/>
      <c r="E770" s="16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17"/>
      <c r="B771" s="17"/>
      <c r="C771" s="17"/>
      <c r="D771" s="8"/>
      <c r="E771" s="16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17"/>
      <c r="B772" s="17"/>
      <c r="C772" s="17"/>
      <c r="D772" s="8"/>
      <c r="E772" s="16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17"/>
      <c r="B773" s="17"/>
      <c r="C773" s="17"/>
      <c r="D773" s="8"/>
      <c r="E773" s="16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17"/>
      <c r="B774" s="17"/>
      <c r="C774" s="17"/>
      <c r="D774" s="8"/>
      <c r="E774" s="16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17"/>
      <c r="B775" s="17"/>
      <c r="C775" s="17"/>
      <c r="D775" s="8"/>
      <c r="E775" s="16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17"/>
      <c r="B776" s="17"/>
      <c r="C776" s="17"/>
      <c r="D776" s="8"/>
      <c r="E776" s="16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17"/>
      <c r="B777" s="17"/>
      <c r="C777" s="17"/>
      <c r="D777" s="8"/>
      <c r="E777" s="16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17"/>
      <c r="B778" s="17"/>
      <c r="C778" s="17"/>
      <c r="D778" s="8"/>
      <c r="E778" s="16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17"/>
      <c r="B779" s="17"/>
      <c r="C779" s="17"/>
      <c r="D779" s="8"/>
      <c r="E779" s="16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17"/>
      <c r="B780" s="17"/>
      <c r="C780" s="17"/>
      <c r="D780" s="8"/>
      <c r="E780" s="16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17"/>
      <c r="B781" s="17"/>
      <c r="C781" s="17"/>
      <c r="D781" s="8"/>
      <c r="E781" s="16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17"/>
      <c r="B782" s="17"/>
      <c r="C782" s="17"/>
      <c r="D782" s="8"/>
      <c r="E782" s="16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17"/>
      <c r="B783" s="17"/>
      <c r="C783" s="17"/>
      <c r="D783" s="8"/>
      <c r="E783" s="16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17"/>
      <c r="B784" s="17"/>
      <c r="C784" s="17"/>
      <c r="D784" s="8"/>
      <c r="E784" s="16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17"/>
      <c r="B785" s="17"/>
      <c r="C785" s="17"/>
      <c r="D785" s="8"/>
      <c r="E785" s="16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17"/>
      <c r="B786" s="17"/>
      <c r="C786" s="17"/>
      <c r="D786" s="8"/>
      <c r="E786" s="16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17"/>
      <c r="B787" s="17"/>
      <c r="C787" s="17"/>
      <c r="D787" s="8"/>
      <c r="E787" s="16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17"/>
      <c r="B788" s="17"/>
      <c r="C788" s="17"/>
      <c r="D788" s="8"/>
      <c r="E788" s="16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17"/>
      <c r="B789" s="17"/>
      <c r="C789" s="17"/>
      <c r="D789" s="8"/>
      <c r="E789" s="16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17"/>
      <c r="B790" s="17"/>
      <c r="C790" s="17"/>
      <c r="D790" s="8"/>
      <c r="E790" s="16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17"/>
      <c r="B791" s="17"/>
      <c r="C791" s="17"/>
      <c r="D791" s="8"/>
      <c r="E791" s="16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17"/>
      <c r="B792" s="17"/>
      <c r="C792" s="17"/>
      <c r="D792" s="8"/>
      <c r="E792" s="16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17"/>
      <c r="B793" s="17"/>
      <c r="C793" s="17"/>
      <c r="D793" s="8"/>
      <c r="E793" s="16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17"/>
      <c r="B794" s="17"/>
      <c r="C794" s="17"/>
      <c r="D794" s="8"/>
      <c r="E794" s="16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17"/>
      <c r="B795" s="17"/>
      <c r="C795" s="17"/>
      <c r="D795" s="8"/>
      <c r="E795" s="16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17"/>
      <c r="B796" s="17"/>
      <c r="C796" s="17"/>
      <c r="D796" s="8"/>
      <c r="E796" s="16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17"/>
      <c r="B797" s="17"/>
      <c r="C797" s="17"/>
      <c r="D797" s="8"/>
      <c r="E797" s="16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17"/>
      <c r="B798" s="17"/>
      <c r="C798" s="17"/>
      <c r="D798" s="8"/>
      <c r="E798" s="16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17"/>
      <c r="B799" s="17"/>
      <c r="C799" s="17"/>
      <c r="D799" s="8"/>
      <c r="E799" s="16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17"/>
      <c r="B800" s="17"/>
      <c r="C800" s="17"/>
      <c r="D800" s="8"/>
      <c r="E800" s="16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17"/>
      <c r="B801" s="17"/>
      <c r="C801" s="17"/>
      <c r="D801" s="8"/>
      <c r="E801" s="16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17"/>
      <c r="B802" s="17"/>
      <c r="C802" s="17"/>
      <c r="D802" s="8"/>
      <c r="E802" s="16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17"/>
      <c r="B803" s="17"/>
      <c r="C803" s="17"/>
      <c r="D803" s="8"/>
      <c r="E803" s="16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17"/>
      <c r="B804" s="17"/>
      <c r="C804" s="17"/>
      <c r="D804" s="8"/>
      <c r="E804" s="16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17"/>
      <c r="B805" s="17"/>
      <c r="C805" s="17"/>
      <c r="D805" s="8"/>
      <c r="E805" s="16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17"/>
      <c r="B806" s="17"/>
      <c r="C806" s="17"/>
      <c r="D806" s="8"/>
      <c r="E806" s="16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17"/>
      <c r="B807" s="17"/>
      <c r="C807" s="17"/>
      <c r="D807" s="8"/>
      <c r="E807" s="16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17"/>
      <c r="B808" s="17"/>
      <c r="C808" s="17"/>
      <c r="D808" s="8"/>
      <c r="E808" s="16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17"/>
      <c r="B809" s="17"/>
      <c r="C809" s="17"/>
      <c r="D809" s="8"/>
      <c r="E809" s="16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17"/>
      <c r="B810" s="17"/>
      <c r="C810" s="17"/>
      <c r="D810" s="8"/>
      <c r="E810" s="16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17"/>
      <c r="B811" s="17"/>
      <c r="C811" s="17"/>
      <c r="D811" s="8"/>
      <c r="E811" s="16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17"/>
      <c r="B812" s="17"/>
      <c r="C812" s="17"/>
      <c r="D812" s="8"/>
      <c r="E812" s="16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17"/>
      <c r="B813" s="17"/>
      <c r="C813" s="17"/>
      <c r="D813" s="8"/>
      <c r="E813" s="16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17"/>
      <c r="B814" s="17"/>
      <c r="C814" s="17"/>
      <c r="D814" s="8"/>
      <c r="E814" s="16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17"/>
      <c r="B815" s="17"/>
      <c r="C815" s="17"/>
      <c r="D815" s="8"/>
      <c r="E815" s="16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17"/>
      <c r="B816" s="17"/>
      <c r="C816" s="17"/>
      <c r="D816" s="8"/>
      <c r="E816" s="16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17"/>
      <c r="B817" s="17"/>
      <c r="C817" s="17"/>
      <c r="D817" s="8"/>
      <c r="E817" s="16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17"/>
      <c r="B818" s="17"/>
      <c r="C818" s="17"/>
      <c r="D818" s="8"/>
      <c r="E818" s="16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17"/>
      <c r="B819" s="17"/>
      <c r="C819" s="17"/>
      <c r="D819" s="8"/>
      <c r="E819" s="16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17"/>
      <c r="B820" s="17"/>
      <c r="C820" s="17"/>
      <c r="D820" s="8"/>
      <c r="E820" s="16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17"/>
      <c r="B821" s="17"/>
      <c r="C821" s="17"/>
      <c r="D821" s="8"/>
      <c r="E821" s="16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17"/>
      <c r="B822" s="17"/>
      <c r="C822" s="17"/>
      <c r="D822" s="8"/>
      <c r="E822" s="16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17"/>
      <c r="B823" s="17"/>
      <c r="C823" s="17"/>
      <c r="D823" s="8"/>
      <c r="E823" s="16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17"/>
      <c r="B824" s="17"/>
      <c r="C824" s="17"/>
      <c r="D824" s="8"/>
      <c r="E824" s="16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17"/>
      <c r="B825" s="17"/>
      <c r="C825" s="17"/>
      <c r="D825" s="8"/>
      <c r="E825" s="16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17"/>
      <c r="B826" s="17"/>
      <c r="C826" s="17"/>
      <c r="D826" s="8"/>
      <c r="E826" s="16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17"/>
      <c r="B827" s="17"/>
      <c r="C827" s="17"/>
      <c r="D827" s="8"/>
      <c r="E827" s="16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17"/>
      <c r="B828" s="17"/>
      <c r="C828" s="17"/>
      <c r="D828" s="8"/>
      <c r="E828" s="16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17"/>
      <c r="B829" s="17"/>
      <c r="C829" s="17"/>
      <c r="D829" s="8"/>
      <c r="E829" s="16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17"/>
      <c r="B830" s="17"/>
      <c r="C830" s="17"/>
      <c r="D830" s="8"/>
      <c r="E830" s="16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17"/>
      <c r="B831" s="17"/>
      <c r="C831" s="17"/>
      <c r="D831" s="8"/>
      <c r="E831" s="16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17"/>
      <c r="B832" s="17"/>
      <c r="C832" s="17"/>
      <c r="D832" s="8"/>
      <c r="E832" s="16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17"/>
      <c r="B833" s="17"/>
      <c r="C833" s="17"/>
      <c r="D833" s="8"/>
      <c r="E833" s="16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17"/>
      <c r="B834" s="17"/>
      <c r="C834" s="17"/>
      <c r="D834" s="8"/>
      <c r="E834" s="16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17"/>
      <c r="B835" s="17"/>
      <c r="C835" s="17"/>
      <c r="D835" s="8"/>
      <c r="E835" s="16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17"/>
      <c r="B836" s="17"/>
      <c r="C836" s="17"/>
      <c r="D836" s="8"/>
      <c r="E836" s="16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17"/>
      <c r="B837" s="17"/>
      <c r="C837" s="17"/>
      <c r="D837" s="8"/>
      <c r="E837" s="16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17"/>
      <c r="B838" s="17"/>
      <c r="C838" s="17"/>
      <c r="D838" s="8"/>
      <c r="E838" s="16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17"/>
      <c r="B839" s="17"/>
      <c r="C839" s="17"/>
      <c r="D839" s="8"/>
      <c r="E839" s="16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17"/>
      <c r="B840" s="17"/>
      <c r="C840" s="17"/>
      <c r="D840" s="8"/>
      <c r="E840" s="16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17"/>
      <c r="B841" s="17"/>
      <c r="C841" s="17"/>
      <c r="D841" s="8"/>
      <c r="E841" s="16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17"/>
      <c r="B842" s="17"/>
      <c r="C842" s="17"/>
      <c r="D842" s="8"/>
      <c r="E842" s="16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17"/>
      <c r="B843" s="17"/>
      <c r="C843" s="17"/>
      <c r="D843" s="8"/>
      <c r="E843" s="16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17"/>
      <c r="B844" s="17"/>
      <c r="C844" s="17"/>
      <c r="D844" s="8"/>
      <c r="E844" s="16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17"/>
      <c r="B845" s="17"/>
      <c r="C845" s="17"/>
      <c r="D845" s="8"/>
      <c r="E845" s="16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17"/>
      <c r="B846" s="17"/>
      <c r="C846" s="17"/>
      <c r="D846" s="8"/>
      <c r="E846" s="16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17"/>
      <c r="B847" s="17"/>
      <c r="C847" s="17"/>
      <c r="D847" s="8"/>
      <c r="E847" s="16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17"/>
      <c r="B848" s="17"/>
      <c r="C848" s="17"/>
      <c r="D848" s="8"/>
      <c r="E848" s="16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17"/>
      <c r="B849" s="17"/>
      <c r="C849" s="17"/>
      <c r="D849" s="8"/>
      <c r="E849" s="16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17"/>
      <c r="B850" s="17"/>
      <c r="C850" s="17"/>
      <c r="D850" s="8"/>
      <c r="E850" s="16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17"/>
      <c r="B851" s="17"/>
      <c r="C851" s="17"/>
      <c r="D851" s="8"/>
      <c r="E851" s="16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17"/>
      <c r="B852" s="17"/>
      <c r="C852" s="17"/>
      <c r="D852" s="8"/>
      <c r="E852" s="16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17"/>
      <c r="B853" s="17"/>
      <c r="C853" s="17"/>
      <c r="D853" s="8"/>
      <c r="E853" s="16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17"/>
      <c r="B854" s="17"/>
      <c r="C854" s="17"/>
      <c r="D854" s="8"/>
      <c r="E854" s="16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17"/>
      <c r="B855" s="17"/>
      <c r="C855" s="17"/>
      <c r="D855" s="8"/>
      <c r="E855" s="16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17"/>
      <c r="B856" s="17"/>
      <c r="C856" s="17"/>
      <c r="D856" s="8"/>
      <c r="E856" s="16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17"/>
      <c r="B857" s="17"/>
      <c r="C857" s="17"/>
      <c r="D857" s="8"/>
      <c r="E857" s="16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17"/>
      <c r="B858" s="17"/>
      <c r="C858" s="17"/>
      <c r="D858" s="8"/>
      <c r="E858" s="16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17"/>
      <c r="B859" s="17"/>
      <c r="C859" s="17"/>
      <c r="D859" s="8"/>
      <c r="E859" s="16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17"/>
      <c r="B860" s="17"/>
      <c r="C860" s="17"/>
      <c r="D860" s="8"/>
      <c r="E860" s="16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17"/>
      <c r="B861" s="17"/>
      <c r="C861" s="17"/>
      <c r="D861" s="8"/>
      <c r="E861" s="16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17"/>
      <c r="B862" s="17"/>
      <c r="C862" s="17"/>
      <c r="D862" s="8"/>
      <c r="E862" s="16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17"/>
      <c r="B863" s="17"/>
      <c r="C863" s="17"/>
      <c r="D863" s="8"/>
      <c r="E863" s="16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17"/>
      <c r="B864" s="17"/>
      <c r="C864" s="17"/>
      <c r="D864" s="8"/>
      <c r="E864" s="16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17"/>
      <c r="B865" s="17"/>
      <c r="C865" s="17"/>
      <c r="D865" s="8"/>
      <c r="E865" s="16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17"/>
      <c r="B866" s="17"/>
      <c r="C866" s="17"/>
      <c r="D866" s="8"/>
      <c r="E866" s="16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17"/>
      <c r="B867" s="17"/>
      <c r="C867" s="17"/>
      <c r="D867" s="8"/>
      <c r="E867" s="16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17"/>
      <c r="B868" s="17"/>
      <c r="C868" s="17"/>
      <c r="D868" s="8"/>
      <c r="E868" s="16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17"/>
      <c r="B869" s="17"/>
      <c r="C869" s="17"/>
      <c r="D869" s="8"/>
      <c r="E869" s="16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17"/>
      <c r="B870" s="17"/>
      <c r="C870" s="17"/>
      <c r="D870" s="8"/>
      <c r="E870" s="16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17"/>
      <c r="B871" s="17"/>
      <c r="C871" s="17"/>
      <c r="D871" s="8"/>
      <c r="E871" s="16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17"/>
      <c r="B872" s="17"/>
      <c r="C872" s="17"/>
      <c r="D872" s="8"/>
      <c r="E872" s="16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17"/>
      <c r="B873" s="17"/>
      <c r="C873" s="17"/>
      <c r="D873" s="8"/>
      <c r="E873" s="16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17"/>
      <c r="B874" s="17"/>
      <c r="C874" s="17"/>
      <c r="D874" s="8"/>
      <c r="E874" s="16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17"/>
      <c r="B875" s="17"/>
      <c r="C875" s="17"/>
      <c r="D875" s="8"/>
      <c r="E875" s="16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17"/>
      <c r="B876" s="17"/>
      <c r="C876" s="17"/>
      <c r="D876" s="8"/>
      <c r="E876" s="16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17"/>
      <c r="B877" s="17"/>
      <c r="C877" s="17"/>
      <c r="D877" s="8"/>
      <c r="E877" s="16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17"/>
      <c r="B878" s="17"/>
      <c r="C878" s="17"/>
      <c r="D878" s="8"/>
      <c r="E878" s="16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17"/>
      <c r="B879" s="17"/>
      <c r="C879" s="17"/>
      <c r="D879" s="8"/>
      <c r="E879" s="16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17"/>
      <c r="B880" s="17"/>
      <c r="C880" s="17"/>
      <c r="D880" s="8"/>
      <c r="E880" s="16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17"/>
      <c r="B881" s="17"/>
      <c r="C881" s="17"/>
      <c r="D881" s="8"/>
      <c r="E881" s="16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17"/>
      <c r="B882" s="17"/>
      <c r="C882" s="17"/>
      <c r="D882" s="8"/>
      <c r="E882" s="16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17"/>
      <c r="B883" s="17"/>
      <c r="C883" s="17"/>
      <c r="D883" s="8"/>
      <c r="E883" s="16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17"/>
      <c r="B884" s="17"/>
      <c r="C884" s="17"/>
      <c r="D884" s="8"/>
      <c r="E884" s="16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17"/>
      <c r="B885" s="17"/>
      <c r="C885" s="17"/>
      <c r="D885" s="8"/>
      <c r="E885" s="16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17"/>
      <c r="B886" s="17"/>
      <c r="C886" s="17"/>
      <c r="D886" s="8"/>
      <c r="E886" s="16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17"/>
      <c r="B887" s="17"/>
      <c r="C887" s="17"/>
      <c r="D887" s="8"/>
      <c r="E887" s="16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17"/>
      <c r="B888" s="17"/>
      <c r="C888" s="17"/>
      <c r="D888" s="8"/>
      <c r="E888" s="16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17"/>
      <c r="B889" s="17"/>
      <c r="C889" s="17"/>
      <c r="D889" s="8"/>
      <c r="E889" s="16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17"/>
      <c r="B890" s="17"/>
      <c r="C890" s="17"/>
      <c r="D890" s="8"/>
      <c r="E890" s="16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17"/>
      <c r="B891" s="17"/>
      <c r="C891" s="17"/>
      <c r="D891" s="8"/>
      <c r="E891" s="16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17"/>
      <c r="B892" s="17"/>
      <c r="C892" s="17"/>
      <c r="D892" s="8"/>
      <c r="E892" s="16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17"/>
      <c r="B893" s="17"/>
      <c r="C893" s="17"/>
      <c r="D893" s="8"/>
      <c r="E893" s="16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17"/>
      <c r="B894" s="17"/>
      <c r="C894" s="17"/>
      <c r="D894" s="8"/>
      <c r="E894" s="16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17"/>
      <c r="B895" s="17"/>
      <c r="C895" s="17"/>
      <c r="D895" s="8"/>
      <c r="E895" s="16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17"/>
      <c r="B896" s="17"/>
      <c r="C896" s="17"/>
      <c r="D896" s="8"/>
      <c r="E896" s="16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17"/>
      <c r="B897" s="17"/>
      <c r="C897" s="17"/>
      <c r="D897" s="8"/>
      <c r="E897" s="16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17"/>
      <c r="B898" s="17"/>
      <c r="C898" s="17"/>
      <c r="D898" s="8"/>
      <c r="E898" s="16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17"/>
      <c r="B899" s="17"/>
      <c r="C899" s="17"/>
      <c r="D899" s="8"/>
      <c r="E899" s="16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17"/>
      <c r="B900" s="17"/>
      <c r="C900" s="17"/>
      <c r="D900" s="8"/>
      <c r="E900" s="16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17"/>
      <c r="B901" s="17"/>
      <c r="C901" s="17"/>
      <c r="D901" s="8"/>
      <c r="E901" s="16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17"/>
      <c r="B902" s="17"/>
      <c r="C902" s="17"/>
      <c r="D902" s="8"/>
      <c r="E902" s="16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17"/>
      <c r="B903" s="17"/>
      <c r="C903" s="17"/>
      <c r="D903" s="8"/>
      <c r="E903" s="16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17"/>
      <c r="B904" s="17"/>
      <c r="C904" s="17"/>
      <c r="D904" s="8"/>
      <c r="E904" s="16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17"/>
      <c r="B905" s="17"/>
      <c r="C905" s="17"/>
      <c r="D905" s="8"/>
      <c r="E905" s="16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17"/>
      <c r="B906" s="17"/>
      <c r="C906" s="17"/>
      <c r="D906" s="8"/>
      <c r="E906" s="16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</sheetData>
  <hyperlinks>
    <hyperlink r:id="rId1" ref="E6"/>
    <hyperlink r:id="rId2" ref="F28"/>
    <hyperlink r:id="rId3" ref="E33"/>
    <hyperlink r:id="rId4" ref="E39"/>
    <hyperlink r:id="rId5" ref="E51"/>
    <hyperlink r:id="rId6" ref="E65"/>
    <hyperlink r:id="rId7" ref="E75"/>
    <hyperlink r:id="rId8" ref="E81"/>
    <hyperlink r:id="rId9" ref="E82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 outlineLevelRow="1"/>
  <cols>
    <col customWidth="1" min="1" max="1" width="53.5"/>
    <col customWidth="1" min="2" max="2" width="17.88"/>
    <col customWidth="1" min="3" max="3" width="77.63"/>
  </cols>
  <sheetData>
    <row r="1">
      <c r="A1" s="2" t="s">
        <v>2</v>
      </c>
      <c r="B1" s="4"/>
      <c r="C1" s="6"/>
      <c r="D1" s="3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>
      <c r="A2" s="1" t="s">
        <v>0</v>
      </c>
      <c r="B2" s="1" t="s">
        <v>3</v>
      </c>
      <c r="C2" s="6" t="s">
        <v>4</v>
      </c>
      <c r="D2" s="3" t="s">
        <v>12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>
      <c r="A3" s="18" t="s">
        <v>11</v>
      </c>
      <c r="B3" s="21"/>
      <c r="C3" s="23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8"/>
      <c r="X3" s="8"/>
    </row>
    <row r="4" outlineLevel="1">
      <c r="A4" s="29" t="s">
        <v>21</v>
      </c>
      <c r="B4" s="30"/>
      <c r="C4" s="31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8"/>
      <c r="X4" s="8"/>
    </row>
    <row r="5" outlineLevel="1">
      <c r="A5" s="33" t="s">
        <v>24</v>
      </c>
      <c r="B5" s="35">
        <v>200.0</v>
      </c>
      <c r="C5" s="31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8"/>
      <c r="X5" s="8"/>
    </row>
    <row r="6" outlineLevel="1">
      <c r="A6" s="33" t="s">
        <v>26</v>
      </c>
      <c r="B6" s="35">
        <v>6.0</v>
      </c>
      <c r="C6" s="31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8"/>
      <c r="X6" s="8"/>
    </row>
    <row r="7" outlineLevel="1">
      <c r="A7" s="39" t="s">
        <v>28</v>
      </c>
      <c r="B7" s="40">
        <v>0.37</v>
      </c>
      <c r="C7" s="31" t="s">
        <v>31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8"/>
      <c r="X7" s="8"/>
    </row>
    <row r="8" outlineLevel="1">
      <c r="A8" s="33" t="s">
        <v>34</v>
      </c>
      <c r="B8" s="41">
        <v>150000.0</v>
      </c>
      <c r="C8" s="31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8"/>
      <c r="X8" s="8"/>
    </row>
    <row r="9" outlineLevel="1">
      <c r="A9" s="39" t="s">
        <v>35</v>
      </c>
      <c r="B9" s="48">
        <f>B8*1.6</f>
        <v>240000</v>
      </c>
      <c r="C9" s="31" t="s">
        <v>41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8"/>
      <c r="X9" s="8"/>
    </row>
    <row r="10" outlineLevel="1">
      <c r="A10" s="39" t="s">
        <v>43</v>
      </c>
      <c r="B10" s="48">
        <f>70000</f>
        <v>70000</v>
      </c>
      <c r="C10" s="31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8"/>
      <c r="X10" s="8"/>
    </row>
    <row r="11" outlineLevel="1">
      <c r="A11" s="39" t="s">
        <v>45</v>
      </c>
      <c r="B11" s="48">
        <f>B10*1.6</f>
        <v>112000</v>
      </c>
      <c r="C11" s="31" t="s">
        <v>41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8"/>
      <c r="X11" s="8"/>
    </row>
    <row r="12" outlineLevel="1">
      <c r="A12" s="33" t="s">
        <v>50</v>
      </c>
      <c r="B12" s="53">
        <f>(B9-B11)*B5*B6*B7</f>
        <v>56832000</v>
      </c>
      <c r="C12" s="31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8"/>
      <c r="X12" s="8"/>
    </row>
    <row r="13" outlineLevel="1">
      <c r="A13" s="55" t="s">
        <v>56</v>
      </c>
      <c r="B13" s="56"/>
      <c r="C13" s="31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8"/>
      <c r="X13" s="8"/>
    </row>
    <row r="14" outlineLevel="1">
      <c r="A14" s="39" t="s">
        <v>64</v>
      </c>
      <c r="B14" s="57">
        <f>B8</f>
        <v>150000</v>
      </c>
      <c r="C14" s="31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8"/>
      <c r="X14" s="8"/>
    </row>
    <row r="15" outlineLevel="1">
      <c r="A15" s="39" t="s">
        <v>68</v>
      </c>
      <c r="B15" s="58">
        <v>0.18</v>
      </c>
      <c r="C15" s="59" t="s">
        <v>70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8"/>
      <c r="X15" s="8"/>
    </row>
    <row r="16" outlineLevel="1">
      <c r="A16" s="39" t="s">
        <v>73</v>
      </c>
      <c r="B16" s="60">
        <f>B14*12*0.18</f>
        <v>324000</v>
      </c>
      <c r="C16" s="31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8"/>
      <c r="X16" s="8"/>
    </row>
    <row r="17" outlineLevel="1">
      <c r="A17" s="39" t="s">
        <v>77</v>
      </c>
      <c r="B17" s="60">
        <f>B14*6</f>
        <v>900000</v>
      </c>
      <c r="C17" s="62" t="s">
        <v>80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8"/>
      <c r="X17" s="8"/>
    </row>
    <row r="18" outlineLevel="1">
      <c r="A18" s="39" t="s">
        <v>84</v>
      </c>
      <c r="B18" s="67">
        <f>B5*0.3</f>
        <v>60</v>
      </c>
      <c r="C18" s="59" t="s">
        <v>87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8"/>
      <c r="X18" s="8"/>
    </row>
    <row r="19" outlineLevel="1">
      <c r="A19" s="68" t="s">
        <v>91</v>
      </c>
      <c r="B19" s="69">
        <f>(B16+B17)*B18</f>
        <v>73440000</v>
      </c>
      <c r="C19" s="31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8"/>
      <c r="X19" s="8"/>
    </row>
    <row r="20" outlineLevel="1">
      <c r="A20" s="73"/>
      <c r="B20" s="74"/>
      <c r="C20" s="31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8"/>
      <c r="X20" s="8"/>
    </row>
    <row r="21" outlineLevel="1">
      <c r="A21" s="55" t="s">
        <v>100</v>
      </c>
      <c r="B21" s="30"/>
      <c r="C21" s="31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8"/>
      <c r="X21" s="8"/>
    </row>
    <row r="22" outlineLevel="1">
      <c r="A22" s="39" t="s">
        <v>102</v>
      </c>
      <c r="B22" s="57">
        <f>B8</f>
        <v>150000</v>
      </c>
      <c r="C22" s="59" t="s">
        <v>67</v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8"/>
      <c r="X22" s="8"/>
    </row>
    <row r="23" outlineLevel="1">
      <c r="A23" s="39" t="s">
        <v>107</v>
      </c>
      <c r="B23" s="57">
        <f>B22*12</f>
        <v>1800000</v>
      </c>
      <c r="C23" s="59" t="s">
        <v>67</v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8"/>
      <c r="X23" s="8"/>
    </row>
    <row r="24" outlineLevel="1">
      <c r="A24" s="39" t="s">
        <v>74</v>
      </c>
      <c r="B24" s="81">
        <v>0.18</v>
      </c>
      <c r="C24" s="62" t="s">
        <v>70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8"/>
      <c r="X24" s="8"/>
    </row>
    <row r="25" outlineLevel="1">
      <c r="A25" s="39" t="s">
        <v>115</v>
      </c>
      <c r="B25" s="57">
        <f>B23*B24</f>
        <v>324000</v>
      </c>
      <c r="C25" s="59" t="s">
        <v>70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8"/>
      <c r="X25" s="8"/>
    </row>
    <row r="26" outlineLevel="1">
      <c r="A26" s="39" t="s">
        <v>117</v>
      </c>
      <c r="B26" s="57">
        <f>B25*14.3%</f>
        <v>46332</v>
      </c>
      <c r="C26" s="89" t="s">
        <v>120</v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8"/>
      <c r="X26" s="8"/>
    </row>
    <row r="27" outlineLevel="1">
      <c r="A27" s="33" t="s">
        <v>122</v>
      </c>
      <c r="B27" s="92">
        <v>112000.0</v>
      </c>
      <c r="C27" s="31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8"/>
      <c r="X27" s="8"/>
    </row>
    <row r="28" outlineLevel="1">
      <c r="A28" s="39" t="s">
        <v>126</v>
      </c>
      <c r="B28" s="81">
        <v>0.05</v>
      </c>
      <c r="C28" s="95" t="s">
        <v>127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8"/>
      <c r="X28" s="8"/>
    </row>
    <row r="29" outlineLevel="1">
      <c r="A29" s="39" t="s">
        <v>132</v>
      </c>
      <c r="B29" s="97">
        <f>B27*B28</f>
        <v>5600</v>
      </c>
      <c r="C29" s="31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8"/>
      <c r="X29" s="8"/>
    </row>
    <row r="30" outlineLevel="1">
      <c r="A30" s="33" t="s">
        <v>134</v>
      </c>
      <c r="B30" s="99">
        <f>B26*B29</f>
        <v>259459200</v>
      </c>
      <c r="C30" s="31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8"/>
      <c r="X30" s="8"/>
    </row>
    <row r="31" outlineLevel="1">
      <c r="A31" s="55" t="s">
        <v>136</v>
      </c>
      <c r="B31" s="56"/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8"/>
      <c r="X31" s="8"/>
    </row>
    <row r="32" outlineLevel="1">
      <c r="A32" s="39" t="s">
        <v>138</v>
      </c>
      <c r="B32" s="48">
        <f>B12</f>
        <v>56832000</v>
      </c>
      <c r="C32" s="23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8"/>
      <c r="X32" s="8"/>
    </row>
    <row r="33" outlineLevel="1">
      <c r="A33" s="39" t="s">
        <v>91</v>
      </c>
      <c r="B33" s="48">
        <f>B19</f>
        <v>73440000</v>
      </c>
      <c r="C33" s="104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8"/>
      <c r="X33" s="8"/>
    </row>
    <row r="34" outlineLevel="1">
      <c r="A34" s="39" t="s">
        <v>142</v>
      </c>
      <c r="B34" s="48">
        <f>B30</f>
        <v>259459200</v>
      </c>
      <c r="C34" s="104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8"/>
      <c r="X34" s="8"/>
    </row>
    <row r="35" outlineLevel="1">
      <c r="A35" s="108" t="s">
        <v>136</v>
      </c>
      <c r="B35" s="110">
        <f>SUM(B32:B34)</f>
        <v>389731200</v>
      </c>
      <c r="C35" s="111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3"/>
      <c r="X35" s="113"/>
    </row>
    <row r="36" outlineLevel="1">
      <c r="A36" s="114" t="s">
        <v>146</v>
      </c>
      <c r="B36" s="115">
        <v>2.0E7</v>
      </c>
      <c r="C36" s="116" t="s">
        <v>96</v>
      </c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3"/>
      <c r="X36" s="113"/>
    </row>
    <row r="37" outlineLevel="1">
      <c r="A37" s="118" t="s">
        <v>98</v>
      </c>
      <c r="B37" s="120">
        <f>((((300000*0.2)+(0.5*200000)+(100000*0.5)+(170000*0.5))*6)*1.6)*2</f>
        <v>5664000</v>
      </c>
      <c r="C37" s="116" t="s">
        <v>150</v>
      </c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3"/>
      <c r="X37" s="113"/>
    </row>
    <row r="38" outlineLevel="1">
      <c r="A38" s="122" t="s">
        <v>151</v>
      </c>
      <c r="B38" s="123">
        <f>B36+B37</f>
        <v>25664000</v>
      </c>
      <c r="C38" s="124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3"/>
      <c r="X38" s="113"/>
    </row>
    <row r="39" outlineLevel="1">
      <c r="A39" s="126" t="s">
        <v>155</v>
      </c>
      <c r="B39" s="128">
        <f>(B35-B38)/B38</f>
        <v>14.18591022</v>
      </c>
      <c r="C39" s="124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3"/>
      <c r="X39" s="113"/>
    </row>
    <row r="40">
      <c r="A40" s="129"/>
      <c r="B40" s="129"/>
      <c r="C40" s="104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8"/>
      <c r="X40" s="8"/>
    </row>
    <row r="41">
      <c r="A41" s="131"/>
      <c r="B41" s="131"/>
      <c r="C41" s="133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8"/>
      <c r="X41" s="8"/>
    </row>
    <row r="42">
      <c r="A42" s="129"/>
      <c r="B42" s="129"/>
      <c r="C42" s="104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8"/>
      <c r="X42" s="8"/>
    </row>
    <row r="43">
      <c r="A43" s="134" t="s">
        <v>159</v>
      </c>
      <c r="B43" s="45"/>
      <c r="C43" s="23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8"/>
      <c r="X43" s="8"/>
    </row>
    <row r="44" outlineLevel="1">
      <c r="A44" s="135" t="s">
        <v>161</v>
      </c>
      <c r="B44" s="45"/>
      <c r="C44" s="23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8"/>
      <c r="X44" s="8"/>
    </row>
    <row r="45" outlineLevel="1">
      <c r="A45" s="84" t="s">
        <v>162</v>
      </c>
      <c r="B45" s="136">
        <v>200.0</v>
      </c>
      <c r="C45" s="23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8"/>
      <c r="X45" s="8"/>
    </row>
    <row r="46" outlineLevel="1">
      <c r="A46" s="84" t="s">
        <v>164</v>
      </c>
      <c r="B46" s="137">
        <v>150000.0</v>
      </c>
      <c r="C46" s="23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8"/>
      <c r="X46" s="8"/>
    </row>
    <row r="47" outlineLevel="1">
      <c r="A47" s="86" t="s">
        <v>27</v>
      </c>
      <c r="B47" s="43">
        <f>(13%+30%+1/12+1/12/2+1/12/2)</f>
        <v>0.5966666667</v>
      </c>
      <c r="C47" s="141" t="s">
        <v>36</v>
      </c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8"/>
      <c r="X47" s="8"/>
    </row>
    <row r="48" outlineLevel="1">
      <c r="A48" s="86" t="s">
        <v>167</v>
      </c>
      <c r="B48" s="94">
        <f>B46*1.6*B45</f>
        <v>48000000</v>
      </c>
      <c r="C48" s="23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8"/>
      <c r="X48" s="8"/>
    </row>
    <row r="49" outlineLevel="1">
      <c r="A49" s="86" t="s">
        <v>169</v>
      </c>
      <c r="B49" s="150">
        <v>0.166</v>
      </c>
      <c r="C49" s="153" t="s">
        <v>170</v>
      </c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8"/>
      <c r="X49" s="8"/>
    </row>
    <row r="50" outlineLevel="1">
      <c r="A50" s="86" t="s">
        <v>161</v>
      </c>
      <c r="B50" s="154">
        <f>B48*B49</f>
        <v>7968000</v>
      </c>
      <c r="C50" s="23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8"/>
      <c r="X50" s="8"/>
    </row>
    <row r="51" outlineLevel="1">
      <c r="A51" s="135" t="s">
        <v>180</v>
      </c>
      <c r="B51" s="45"/>
      <c r="C51" s="23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8"/>
      <c r="X51" s="8"/>
    </row>
    <row r="52" outlineLevel="1">
      <c r="A52" s="38" t="s">
        <v>182</v>
      </c>
      <c r="B52" s="156">
        <f>B45*0.3</f>
        <v>60</v>
      </c>
      <c r="C52" s="23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8"/>
      <c r="X52" s="8"/>
    </row>
    <row r="53" outlineLevel="1">
      <c r="A53" s="38" t="s">
        <v>187</v>
      </c>
      <c r="B53" s="159">
        <f>B46*1.6*B52</f>
        <v>14400000</v>
      </c>
      <c r="C53" s="23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8"/>
      <c r="X53" s="8"/>
    </row>
    <row r="54" outlineLevel="1">
      <c r="A54" s="38" t="s">
        <v>191</v>
      </c>
      <c r="B54" s="159">
        <f>B53*20/168</f>
        <v>1714285.714</v>
      </c>
      <c r="C54" s="141" t="s">
        <v>193</v>
      </c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8"/>
      <c r="X54" s="8"/>
    </row>
    <row r="55" outlineLevel="1">
      <c r="A55" s="86" t="s">
        <v>195</v>
      </c>
      <c r="B55" s="163">
        <v>1.6E7</v>
      </c>
      <c r="C55" s="23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8"/>
      <c r="X55" s="8"/>
    </row>
    <row r="56" outlineLevel="1">
      <c r="A56" s="86" t="s">
        <v>198</v>
      </c>
      <c r="B56" s="163">
        <f>(((350000*0.2)+(100000)+(200000*0.25)*3)+(0.2*5*450000))*1.6</f>
        <v>1232000</v>
      </c>
      <c r="C56" s="141" t="s">
        <v>208</v>
      </c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8"/>
      <c r="X56" s="8"/>
    </row>
    <row r="57" outlineLevel="1">
      <c r="A57" s="86" t="s">
        <v>212</v>
      </c>
      <c r="B57" s="94">
        <f>B54+B55+B56</f>
        <v>18946285.71</v>
      </c>
      <c r="C57" s="23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8"/>
      <c r="X57" s="8"/>
    </row>
    <row r="58" outlineLevel="1">
      <c r="A58" s="86" t="s">
        <v>218</v>
      </c>
      <c r="B58" s="170">
        <v>2.0</v>
      </c>
      <c r="C58" s="171" t="s">
        <v>219</v>
      </c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8"/>
      <c r="X58" s="8"/>
    </row>
    <row r="59" outlineLevel="1">
      <c r="A59" s="86" t="s">
        <v>224</v>
      </c>
      <c r="B59" s="94">
        <f>B57*1.25</f>
        <v>23682857.14</v>
      </c>
      <c r="C59" s="172" t="s">
        <v>226</v>
      </c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8"/>
      <c r="X59" s="8"/>
    </row>
    <row r="60" outlineLevel="1">
      <c r="A60" s="84" t="s">
        <v>192</v>
      </c>
      <c r="B60" s="175">
        <f>B58*B59</f>
        <v>47365714.29</v>
      </c>
      <c r="C60" s="23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8"/>
      <c r="X60" s="8"/>
    </row>
    <row r="61" outlineLevel="1">
      <c r="A61" s="135" t="s">
        <v>232</v>
      </c>
      <c r="B61" s="45"/>
      <c r="C61" s="23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8"/>
      <c r="X61" s="8"/>
    </row>
    <row r="62" outlineLevel="1">
      <c r="A62" s="86" t="s">
        <v>64</v>
      </c>
      <c r="B62" s="137">
        <v>300000.0</v>
      </c>
      <c r="C62" s="23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8"/>
      <c r="X62" s="8"/>
    </row>
    <row r="63" outlineLevel="1">
      <c r="A63" s="86" t="s">
        <v>68</v>
      </c>
      <c r="B63" s="177">
        <v>0.18</v>
      </c>
      <c r="C63" s="141" t="s">
        <v>70</v>
      </c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8"/>
      <c r="X63" s="8"/>
    </row>
    <row r="64" outlineLevel="1">
      <c r="A64" s="86" t="s">
        <v>236</v>
      </c>
      <c r="B64" s="179">
        <f>B62*12*0.18</f>
        <v>648000</v>
      </c>
      <c r="C64" s="23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8"/>
      <c r="X64" s="8"/>
    </row>
    <row r="65" outlineLevel="1">
      <c r="A65" s="86" t="s">
        <v>238</v>
      </c>
      <c r="B65" s="179">
        <f>B62*6</f>
        <v>1800000</v>
      </c>
      <c r="C65" s="172" t="s">
        <v>80</v>
      </c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8"/>
      <c r="X65" s="8"/>
    </row>
    <row r="66" outlineLevel="1">
      <c r="A66" s="86" t="s">
        <v>239</v>
      </c>
      <c r="B66" s="180">
        <v>3.0</v>
      </c>
      <c r="C66" s="141" t="s">
        <v>240</v>
      </c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8"/>
      <c r="X66" s="8"/>
    </row>
    <row r="67" outlineLevel="1">
      <c r="A67" s="181" t="s">
        <v>241</v>
      </c>
      <c r="B67" s="179">
        <f>(B64+B65)*B66</f>
        <v>7344000</v>
      </c>
      <c r="C67" s="23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8"/>
      <c r="X67" s="8"/>
    </row>
    <row r="68" outlineLevel="1">
      <c r="A68" s="135" t="s">
        <v>245</v>
      </c>
      <c r="B68" s="45"/>
      <c r="C68" s="23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8"/>
      <c r="X68" s="8"/>
    </row>
    <row r="69" outlineLevel="1">
      <c r="A69" s="84" t="s">
        <v>162</v>
      </c>
      <c r="B69" s="88">
        <f t="shared" ref="B69:B70" si="1">B45</f>
        <v>200</v>
      </c>
      <c r="C69" s="23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8"/>
      <c r="X69" s="8"/>
    </row>
    <row r="70" outlineLevel="1">
      <c r="A70" s="84" t="s">
        <v>164</v>
      </c>
      <c r="B70" s="94">
        <f t="shared" si="1"/>
        <v>150000</v>
      </c>
      <c r="C70" s="23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8"/>
      <c r="X70" s="8"/>
    </row>
    <row r="71" outlineLevel="1">
      <c r="A71" s="86" t="s">
        <v>167</v>
      </c>
      <c r="B71" s="94">
        <f>B70*1.6*B69</f>
        <v>48000000</v>
      </c>
      <c r="C71" s="31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8"/>
      <c r="X71" s="8"/>
    </row>
    <row r="72" outlineLevel="1">
      <c r="A72" s="183" t="s">
        <v>250</v>
      </c>
      <c r="B72" s="184">
        <v>0.42</v>
      </c>
      <c r="C72" s="186" t="s">
        <v>252</v>
      </c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8"/>
      <c r="X72" s="8"/>
    </row>
    <row r="73" outlineLevel="1">
      <c r="A73" s="183" t="s">
        <v>253</v>
      </c>
      <c r="B73" s="187">
        <v>0.0645</v>
      </c>
      <c r="C73" s="141" t="s">
        <v>254</v>
      </c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8"/>
      <c r="X73" s="8"/>
    </row>
    <row r="74" outlineLevel="1">
      <c r="A74" s="181" t="s">
        <v>256</v>
      </c>
      <c r="B74" s="179">
        <f>B71*B73*B72</f>
        <v>1300320</v>
      </c>
      <c r="C74" s="23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8"/>
      <c r="X74" s="8"/>
    </row>
    <row r="75" outlineLevel="1">
      <c r="A75" s="191" t="s">
        <v>260</v>
      </c>
      <c r="B75" s="45"/>
      <c r="C75" s="23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8"/>
      <c r="X75" s="8"/>
    </row>
    <row r="76" outlineLevel="1">
      <c r="A76" s="86" t="s">
        <v>161</v>
      </c>
      <c r="B76" s="179">
        <f>B50</f>
        <v>7968000</v>
      </c>
      <c r="C76" s="23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8"/>
      <c r="X76" s="8"/>
    </row>
    <row r="77" outlineLevel="1">
      <c r="A77" s="102" t="s">
        <v>180</v>
      </c>
      <c r="B77" s="179">
        <f>B60</f>
        <v>47365714.29</v>
      </c>
      <c r="C77" s="23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8"/>
      <c r="X77" s="8"/>
    </row>
    <row r="78" outlineLevel="1">
      <c r="A78" s="86" t="s">
        <v>265</v>
      </c>
      <c r="B78" s="179">
        <f>B67</f>
        <v>7344000</v>
      </c>
      <c r="C78" s="23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8"/>
      <c r="X78" s="8"/>
    </row>
    <row r="79" outlineLevel="1">
      <c r="A79" s="86" t="s">
        <v>245</v>
      </c>
      <c r="B79" s="179">
        <f>B74</f>
        <v>1300320</v>
      </c>
      <c r="C79" s="23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8"/>
      <c r="X79" s="8"/>
    </row>
    <row r="80" outlineLevel="1">
      <c r="A80" s="198" t="s">
        <v>261</v>
      </c>
      <c r="B80" s="154">
        <f>SUM(B76:B79)</f>
        <v>63978034.29</v>
      </c>
      <c r="C80" s="23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8"/>
      <c r="X80" s="8"/>
    </row>
    <row r="81" outlineLevel="1">
      <c r="A81" s="38" t="s">
        <v>191</v>
      </c>
      <c r="B81" s="159">
        <f>B54</f>
        <v>1714285.714</v>
      </c>
      <c r="C81" s="23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8"/>
      <c r="X81" s="8"/>
    </row>
    <row r="82" outlineLevel="1">
      <c r="A82" s="86" t="s">
        <v>195</v>
      </c>
      <c r="B82" s="202">
        <v>6000000.0</v>
      </c>
      <c r="C82" s="23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8"/>
      <c r="X82" s="8"/>
    </row>
    <row r="83" outlineLevel="1">
      <c r="A83" s="86" t="s">
        <v>198</v>
      </c>
      <c r="B83" s="163">
        <f>(((350000*0.2)+(100000)+(200000*0.25)*3)+(0.2*5*450000))*1.6</f>
        <v>1232000</v>
      </c>
      <c r="C83" s="141" t="s">
        <v>208</v>
      </c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8"/>
      <c r="X83" s="8"/>
    </row>
    <row r="84" outlineLevel="1">
      <c r="A84" s="86" t="s">
        <v>151</v>
      </c>
      <c r="B84" s="179">
        <f>SUM(B81:B83)</f>
        <v>8946285.714</v>
      </c>
      <c r="C84" s="23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8"/>
      <c r="X84" s="8"/>
    </row>
    <row r="85" outlineLevel="1">
      <c r="A85" s="204" t="s">
        <v>155</v>
      </c>
      <c r="B85" s="205">
        <f>(B80-B84)/B84</f>
        <v>6.151351559</v>
      </c>
      <c r="C85" s="23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8"/>
      <c r="X85" s="8"/>
    </row>
    <row r="86">
      <c r="A86" s="129"/>
      <c r="B86" s="129"/>
      <c r="C86" s="104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8"/>
      <c r="X86" s="8"/>
    </row>
    <row r="87">
      <c r="A87" s="131"/>
      <c r="B87" s="131"/>
      <c r="C87" s="133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8"/>
      <c r="X87" s="8"/>
    </row>
    <row r="88">
      <c r="A88" s="129"/>
      <c r="B88" s="129"/>
      <c r="C88" s="104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8"/>
      <c r="X88" s="8"/>
    </row>
    <row r="89">
      <c r="A89" s="206" t="s">
        <v>270</v>
      </c>
      <c r="B89" s="8"/>
      <c r="C89" s="207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</row>
    <row r="90" outlineLevel="1">
      <c r="A90" s="25" t="s">
        <v>140</v>
      </c>
      <c r="B90" s="28"/>
      <c r="C90" s="23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</row>
    <row r="91" outlineLevel="1">
      <c r="A91" s="86" t="s">
        <v>116</v>
      </c>
      <c r="B91" s="208">
        <v>150000.0</v>
      </c>
      <c r="C91" s="23" t="s">
        <v>67</v>
      </c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</row>
    <row r="92" outlineLevel="1">
      <c r="A92" s="86" t="s">
        <v>118</v>
      </c>
      <c r="B92" s="88">
        <f>B91*12</f>
        <v>1800000</v>
      </c>
      <c r="C92" s="23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</row>
    <row r="93" outlineLevel="1">
      <c r="A93" s="86" t="s">
        <v>122</v>
      </c>
      <c r="B93" s="136">
        <v>3000.0</v>
      </c>
      <c r="C93" s="23" t="s">
        <v>67</v>
      </c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</row>
    <row r="94" outlineLevel="1">
      <c r="A94" s="102" t="s">
        <v>274</v>
      </c>
      <c r="B94" s="209">
        <v>0.2</v>
      </c>
      <c r="C94" s="171" t="s">
        <v>275</v>
      </c>
      <c r="D94" s="7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</row>
    <row r="95" outlineLevel="1">
      <c r="A95" s="102" t="s">
        <v>277</v>
      </c>
      <c r="B95" s="90">
        <f>B93*B94</f>
        <v>600</v>
      </c>
      <c r="C95" s="23"/>
      <c r="D95" s="7" t="s">
        <v>281</v>
      </c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</row>
    <row r="96" outlineLevel="1">
      <c r="A96" s="102" t="s">
        <v>282</v>
      </c>
      <c r="B96" s="94">
        <f>B95*B92</f>
        <v>1080000000</v>
      </c>
      <c r="C96" s="23"/>
      <c r="D96" s="7" t="s">
        <v>283</v>
      </c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</row>
    <row r="97" outlineLevel="1">
      <c r="A97" s="102" t="s">
        <v>285</v>
      </c>
      <c r="B97" s="210">
        <f>B96*3%</f>
        <v>32400000</v>
      </c>
      <c r="C97" s="186" t="s">
        <v>287</v>
      </c>
      <c r="D97" s="91" t="s">
        <v>289</v>
      </c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</row>
    <row r="98" outlineLevel="1">
      <c r="A98" s="102" t="s">
        <v>290</v>
      </c>
      <c r="B98" s="211">
        <v>0.52</v>
      </c>
      <c r="C98" s="171" t="s">
        <v>293</v>
      </c>
      <c r="D98" s="7" t="s">
        <v>294</v>
      </c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</row>
    <row r="99" outlineLevel="1">
      <c r="A99" s="84" t="s">
        <v>139</v>
      </c>
      <c r="B99" s="103">
        <f>B97*(1+B98)</f>
        <v>49248000</v>
      </c>
      <c r="C99" s="23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</row>
    <row r="100" outlineLevel="1">
      <c r="A100" s="13" t="s">
        <v>295</v>
      </c>
      <c r="B100" s="46"/>
      <c r="C100" s="207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</row>
    <row r="101" outlineLevel="1">
      <c r="A101" s="17" t="s">
        <v>122</v>
      </c>
      <c r="B101" s="90">
        <f t="shared" ref="B101:B102" si="2">B93</f>
        <v>3000</v>
      </c>
      <c r="C101" s="207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</row>
    <row r="102" outlineLevel="1">
      <c r="A102" s="20" t="s">
        <v>267</v>
      </c>
      <c r="B102" s="96">
        <f t="shared" si="2"/>
        <v>0.2</v>
      </c>
      <c r="C102" s="214" t="s">
        <v>67</v>
      </c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</row>
    <row r="103" outlineLevel="1">
      <c r="A103" s="17" t="s">
        <v>144</v>
      </c>
      <c r="B103" s="96">
        <f>(69/3)%</f>
        <v>0.23</v>
      </c>
      <c r="C103" s="215" t="s">
        <v>307</v>
      </c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</row>
    <row r="104" outlineLevel="1">
      <c r="A104" s="17" t="s">
        <v>148</v>
      </c>
      <c r="B104" s="96">
        <f>B102*(1-B103)</f>
        <v>0.154</v>
      </c>
      <c r="C104" s="216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</row>
    <row r="105" outlineLevel="1">
      <c r="A105" s="17" t="s">
        <v>149</v>
      </c>
      <c r="B105" s="19">
        <f>B101*(B102-B104)</f>
        <v>138</v>
      </c>
      <c r="C105" s="21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</row>
    <row r="106" outlineLevel="1">
      <c r="A106" s="20" t="s">
        <v>152</v>
      </c>
      <c r="B106" s="14">
        <f>B91</f>
        <v>150000</v>
      </c>
      <c r="C106" s="214" t="s">
        <v>67</v>
      </c>
      <c r="D106" s="7" t="s">
        <v>321</v>
      </c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</row>
    <row r="107" outlineLevel="1">
      <c r="A107" s="17" t="s">
        <v>153</v>
      </c>
      <c r="B107" s="34">
        <v>0.22</v>
      </c>
      <c r="C107" s="214" t="s">
        <v>324</v>
      </c>
      <c r="D107" s="7" t="s">
        <v>325</v>
      </c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</row>
    <row r="108" outlineLevel="1">
      <c r="A108" s="17" t="s">
        <v>154</v>
      </c>
      <c r="B108" s="93">
        <f>B106*12*B107</f>
        <v>396000</v>
      </c>
      <c r="C108" s="207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</row>
    <row r="109" outlineLevel="1">
      <c r="A109" s="20" t="s">
        <v>156</v>
      </c>
      <c r="B109" s="51">
        <f>B105*B108</f>
        <v>54648000</v>
      </c>
      <c r="C109" s="214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</row>
    <row r="110" outlineLevel="1">
      <c r="A110" s="13" t="s">
        <v>263</v>
      </c>
      <c r="B110" s="8"/>
      <c r="C110" s="207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</row>
    <row r="111" outlineLevel="1">
      <c r="A111" s="20" t="s">
        <v>102</v>
      </c>
      <c r="B111" s="14">
        <f t="shared" ref="B111:B112" si="3">B91</f>
        <v>150000</v>
      </c>
      <c r="C111" s="214" t="s">
        <v>67</v>
      </c>
      <c r="D111" s="7" t="s">
        <v>331</v>
      </c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</row>
    <row r="112" outlineLevel="1">
      <c r="A112" s="20" t="s">
        <v>107</v>
      </c>
      <c r="B112" s="14">
        <f t="shared" si="3"/>
        <v>1800000</v>
      </c>
      <c r="C112" s="214" t="s">
        <v>67</v>
      </c>
      <c r="D112" s="7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</row>
    <row r="113" outlineLevel="1">
      <c r="A113" s="17" t="s">
        <v>74</v>
      </c>
      <c r="B113" s="34">
        <v>0.22</v>
      </c>
      <c r="C113" s="214" t="s">
        <v>70</v>
      </c>
      <c r="D113" s="7" t="s">
        <v>332</v>
      </c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</row>
    <row r="114" outlineLevel="1">
      <c r="A114" s="20" t="s">
        <v>115</v>
      </c>
      <c r="B114" s="14">
        <f>B108</f>
        <v>396000</v>
      </c>
      <c r="C114" s="214" t="s">
        <v>70</v>
      </c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</row>
    <row r="115" outlineLevel="1">
      <c r="A115" s="20" t="s">
        <v>160</v>
      </c>
      <c r="B115" s="14">
        <f>B114*(43%/3)</f>
        <v>56760</v>
      </c>
      <c r="C115" s="220" t="s">
        <v>334</v>
      </c>
      <c r="D115" s="139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</row>
    <row r="116" outlineLevel="1">
      <c r="A116" s="20" t="s">
        <v>122</v>
      </c>
      <c r="B116" s="90">
        <f>B93</f>
        <v>3000</v>
      </c>
      <c r="C116" s="207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</row>
    <row r="117" outlineLevel="1">
      <c r="A117" s="20" t="s">
        <v>165</v>
      </c>
      <c r="B117" s="34">
        <v>0.1</v>
      </c>
      <c r="C117" s="207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</row>
    <row r="118" outlineLevel="1">
      <c r="A118" s="20" t="s">
        <v>132</v>
      </c>
      <c r="B118" s="46">
        <f>B116*B117</f>
        <v>300</v>
      </c>
      <c r="C118" s="207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</row>
    <row r="119" outlineLevel="1">
      <c r="A119" s="1" t="s">
        <v>166</v>
      </c>
      <c r="B119" s="51">
        <f>B115*B118</f>
        <v>17028000</v>
      </c>
      <c r="C119" s="207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</row>
    <row r="120" outlineLevel="1">
      <c r="A120" s="221"/>
      <c r="B120" s="8"/>
      <c r="C120" s="207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</row>
    <row r="121" outlineLevel="1">
      <c r="A121" s="222" t="s">
        <v>335</v>
      </c>
      <c r="B121" s="8"/>
      <c r="C121" s="207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</row>
    <row r="122" outlineLevel="1">
      <c r="A122" s="223" t="s">
        <v>336</v>
      </c>
      <c r="B122" s="224">
        <f>B91</f>
        <v>150000</v>
      </c>
      <c r="C122" s="225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</row>
    <row r="123" outlineLevel="1">
      <c r="A123" s="223" t="s">
        <v>337</v>
      </c>
      <c r="B123" s="226">
        <f>B122*1.6</f>
        <v>240000</v>
      </c>
      <c r="C123" s="227" t="s">
        <v>338</v>
      </c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</row>
    <row r="124" outlineLevel="1">
      <c r="A124" s="228" t="s">
        <v>122</v>
      </c>
      <c r="B124" s="229">
        <f>B93</f>
        <v>3000</v>
      </c>
      <c r="C124" s="225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</row>
    <row r="125" outlineLevel="1">
      <c r="A125" s="228" t="s">
        <v>339</v>
      </c>
      <c r="B125" s="230">
        <f>B124*B94</f>
        <v>600</v>
      </c>
      <c r="C125" s="231" t="s">
        <v>340</v>
      </c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</row>
    <row r="126" ht="35.25" customHeight="1" outlineLevel="1">
      <c r="A126" s="228" t="s">
        <v>341</v>
      </c>
      <c r="B126" s="232">
        <v>0.3</v>
      </c>
      <c r="C126" s="225" t="s">
        <v>342</v>
      </c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</row>
    <row r="127" outlineLevel="1">
      <c r="A127" s="228" t="s">
        <v>343</v>
      </c>
      <c r="B127" s="226">
        <f>B123*B126</f>
        <v>72000</v>
      </c>
      <c r="C127" s="31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</row>
    <row r="128" ht="35.25" customHeight="1" outlineLevel="1">
      <c r="A128" s="233" t="s">
        <v>345</v>
      </c>
      <c r="B128" s="232">
        <v>0.1</v>
      </c>
      <c r="C128" s="227" t="s">
        <v>346</v>
      </c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</row>
    <row r="129" outlineLevel="1">
      <c r="A129" s="233" t="s">
        <v>347</v>
      </c>
      <c r="B129" s="234">
        <f>B125*B127*B128</f>
        <v>4320000</v>
      </c>
      <c r="C129" s="31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</row>
    <row r="130" outlineLevel="1">
      <c r="A130" s="82" t="s">
        <v>348</v>
      </c>
      <c r="B130" s="45"/>
      <c r="C130" s="23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8"/>
      <c r="X130" s="8"/>
    </row>
    <row r="131" outlineLevel="1">
      <c r="A131" s="235" t="s">
        <v>168</v>
      </c>
      <c r="B131" s="132">
        <v>0.25</v>
      </c>
      <c r="C131" s="214" t="s">
        <v>349</v>
      </c>
      <c r="D131" s="236" t="s">
        <v>350</v>
      </c>
      <c r="E131" s="149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</row>
    <row r="132" outlineLevel="1">
      <c r="A132" s="237" t="s">
        <v>171</v>
      </c>
      <c r="B132" s="154">
        <f>(B119+B109+B99)*(100%-B131)+B129</f>
        <v>95013000</v>
      </c>
      <c r="C132" s="23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8"/>
      <c r="X132" s="8"/>
    </row>
    <row r="133" outlineLevel="1">
      <c r="A133" s="86" t="s">
        <v>195</v>
      </c>
      <c r="B133" s="202">
        <v>7000000.0</v>
      </c>
      <c r="C133" s="23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8"/>
      <c r="X133" s="8"/>
    </row>
    <row r="134" outlineLevel="1">
      <c r="A134" s="102" t="s">
        <v>351</v>
      </c>
      <c r="B134" s="202">
        <v>1.5E7</v>
      </c>
      <c r="C134" s="141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8"/>
      <c r="X134" s="8"/>
    </row>
    <row r="135" outlineLevel="1">
      <c r="A135" s="86" t="s">
        <v>151</v>
      </c>
      <c r="B135" s="179">
        <f>SUM(B133:B134)</f>
        <v>22000000</v>
      </c>
      <c r="C135" s="23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8"/>
      <c r="X135" s="8"/>
    </row>
    <row r="136" outlineLevel="1">
      <c r="A136" s="204" t="s">
        <v>155</v>
      </c>
      <c r="B136" s="205">
        <f>(B132-B135)/B135</f>
        <v>3.318772727</v>
      </c>
      <c r="C136" s="23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8"/>
      <c r="X136" s="8"/>
    </row>
    <row r="137">
      <c r="A137" s="17"/>
      <c r="B137" s="8"/>
      <c r="C137" s="207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</row>
    <row r="138">
      <c r="A138" s="131"/>
      <c r="B138" s="131"/>
      <c r="C138" s="133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8"/>
      <c r="X138" s="8"/>
    </row>
    <row r="139">
      <c r="A139" s="221"/>
      <c r="B139" s="8"/>
      <c r="C139" s="207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</row>
    <row r="140">
      <c r="A140" s="206" t="s">
        <v>353</v>
      </c>
      <c r="B140" s="8"/>
      <c r="C140" s="207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</row>
    <row r="141" outlineLevel="1">
      <c r="A141" s="13" t="s">
        <v>263</v>
      </c>
      <c r="B141" s="28"/>
      <c r="C141" s="23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</row>
    <row r="142" outlineLevel="1">
      <c r="A142" s="238" t="s">
        <v>102</v>
      </c>
      <c r="B142" s="239">
        <v>150000.0</v>
      </c>
      <c r="C142" s="31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</row>
    <row r="143" outlineLevel="1">
      <c r="A143" s="238" t="s">
        <v>107</v>
      </c>
      <c r="B143" s="240">
        <f>B142*12</f>
        <v>1800000</v>
      </c>
      <c r="C143" s="31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</row>
    <row r="144" outlineLevel="1">
      <c r="A144" s="238" t="s">
        <v>74</v>
      </c>
      <c r="B144" s="58">
        <v>0.18</v>
      </c>
      <c r="C144" s="62" t="s">
        <v>70</v>
      </c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</row>
    <row r="145" outlineLevel="1">
      <c r="A145" s="238" t="s">
        <v>115</v>
      </c>
      <c r="B145" s="240">
        <f>B143*B144</f>
        <v>324000</v>
      </c>
      <c r="C145" s="241"/>
      <c r="D145" s="7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</row>
    <row r="146" outlineLevel="1">
      <c r="A146" s="242" t="s">
        <v>354</v>
      </c>
      <c r="B146" s="243">
        <v>0.067</v>
      </c>
      <c r="C146" s="244" t="s">
        <v>355</v>
      </c>
      <c r="D146" s="7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</row>
    <row r="147" outlineLevel="1">
      <c r="A147" s="238" t="s">
        <v>122</v>
      </c>
      <c r="B147" s="245">
        <v>112000.0</v>
      </c>
      <c r="C147" s="246"/>
      <c r="D147" s="91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</row>
    <row r="148" outlineLevel="1">
      <c r="A148" s="238" t="s">
        <v>126</v>
      </c>
      <c r="B148" s="58">
        <v>0.05</v>
      </c>
      <c r="C148" s="62" t="s">
        <v>127</v>
      </c>
      <c r="D148" s="7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</row>
    <row r="149" outlineLevel="1">
      <c r="A149" s="238" t="s">
        <v>132</v>
      </c>
      <c r="B149" s="67">
        <f>B147*B148</f>
        <v>5600</v>
      </c>
      <c r="C149" s="31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</row>
    <row r="150" outlineLevel="1">
      <c r="A150" s="247" t="s">
        <v>356</v>
      </c>
      <c r="B150" s="248">
        <f>B145*B146*B149</f>
        <v>121564800</v>
      </c>
      <c r="C150" s="249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outlineLevel="1">
      <c r="A151" s="13" t="s">
        <v>357</v>
      </c>
      <c r="B151" s="17"/>
      <c r="C151" s="250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outlineLevel="1">
      <c r="A152" s="251" t="s">
        <v>358</v>
      </c>
      <c r="B152" s="252">
        <v>0.15</v>
      </c>
      <c r="C152" s="253" t="s">
        <v>359</v>
      </c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outlineLevel="1">
      <c r="A153" s="254" t="s">
        <v>339</v>
      </c>
      <c r="B153" s="255">
        <f>B147*B152</f>
        <v>16800</v>
      </c>
      <c r="C153" s="141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outlineLevel="1">
      <c r="A154" s="254" t="s">
        <v>341</v>
      </c>
      <c r="B154" s="43">
        <v>0.3</v>
      </c>
      <c r="C154" s="253" t="s">
        <v>342</v>
      </c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outlineLevel="1">
      <c r="A155" s="254" t="s">
        <v>343</v>
      </c>
      <c r="B155" s="256">
        <f>B142*B154</f>
        <v>45000</v>
      </c>
      <c r="C155" s="59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outlineLevel="1">
      <c r="A156" s="257" t="s">
        <v>345</v>
      </c>
      <c r="B156" s="258">
        <v>0.1</v>
      </c>
      <c r="C156" s="259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outlineLevel="1">
      <c r="A157" s="247" t="s">
        <v>361</v>
      </c>
      <c r="B157" s="260">
        <f>B153*B155*B156</f>
        <v>75600000</v>
      </c>
      <c r="C157" s="261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outlineLevel="1">
      <c r="A158" s="13" t="s">
        <v>362</v>
      </c>
      <c r="B158" s="260"/>
      <c r="C158" s="141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outlineLevel="1">
      <c r="A159" s="238" t="s">
        <v>363</v>
      </c>
      <c r="B159" s="239">
        <v>170000.0</v>
      </c>
      <c r="C159" s="26" t="s">
        <v>364</v>
      </c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outlineLevel="1">
      <c r="A160" s="238" t="s">
        <v>122</v>
      </c>
      <c r="B160" s="262">
        <f>B147</f>
        <v>112000</v>
      </c>
      <c r="C160" s="141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outlineLevel="1">
      <c r="A161" s="238" t="s">
        <v>365</v>
      </c>
      <c r="B161" s="263">
        <f>B159*B160*1.6</f>
        <v>30464000000</v>
      </c>
      <c r="C161" s="264" t="s">
        <v>41</v>
      </c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outlineLevel="1">
      <c r="A162" s="238" t="s">
        <v>366</v>
      </c>
      <c r="B162" s="263">
        <f>B161*0.1</f>
        <v>3046400000</v>
      </c>
      <c r="C162" s="265" t="s">
        <v>367</v>
      </c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outlineLevel="1">
      <c r="A163" s="33" t="s">
        <v>368</v>
      </c>
      <c r="B163" s="266">
        <f>B162*0.033</f>
        <v>100531200</v>
      </c>
      <c r="C163" s="265" t="s">
        <v>369</v>
      </c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outlineLevel="1">
      <c r="A164" s="13" t="s">
        <v>370</v>
      </c>
      <c r="B164" s="267"/>
      <c r="C164" s="26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outlineLevel="1">
      <c r="A165" s="80" t="s">
        <v>267</v>
      </c>
      <c r="B165" s="269">
        <f>B152</f>
        <v>0.15</v>
      </c>
      <c r="C165" s="253" t="s">
        <v>359</v>
      </c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outlineLevel="1">
      <c r="A166" s="80" t="s">
        <v>144</v>
      </c>
      <c r="B166" s="100">
        <v>0.13</v>
      </c>
      <c r="C166" s="270" t="s">
        <v>371</v>
      </c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outlineLevel="1">
      <c r="A167" s="80" t="s">
        <v>148</v>
      </c>
      <c r="B167" s="100">
        <f>B165*(1-B166)</f>
        <v>0.1305</v>
      </c>
      <c r="C167" s="31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outlineLevel="1">
      <c r="A168" s="80" t="s">
        <v>149</v>
      </c>
      <c r="B168" s="88">
        <f>B147*(B165-B167)</f>
        <v>2184</v>
      </c>
      <c r="C168" s="31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outlineLevel="1">
      <c r="A169" s="80" t="s">
        <v>154</v>
      </c>
      <c r="B169" s="88">
        <f>B145</f>
        <v>324000</v>
      </c>
      <c r="C169" s="31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outlineLevel="1">
      <c r="A170" s="271" t="s">
        <v>295</v>
      </c>
      <c r="B170" s="272">
        <f>B168*B169</f>
        <v>707616000</v>
      </c>
      <c r="C170" s="31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outlineLevel="1">
      <c r="A171" s="82" t="s">
        <v>348</v>
      </c>
      <c r="B171" s="45"/>
      <c r="C171" s="23"/>
      <c r="D171" s="273"/>
      <c r="E171" s="273"/>
      <c r="F171" s="273"/>
      <c r="G171" s="273"/>
      <c r="H171" s="273"/>
      <c r="I171" s="273"/>
      <c r="J171" s="273"/>
      <c r="K171" s="273"/>
      <c r="L171" s="273"/>
      <c r="M171" s="273"/>
      <c r="N171" s="273"/>
      <c r="O171" s="273"/>
      <c r="P171" s="273"/>
      <c r="Q171" s="273"/>
      <c r="R171" s="273"/>
      <c r="S171" s="273"/>
      <c r="T171" s="273"/>
      <c r="U171" s="273"/>
      <c r="V171" s="273"/>
      <c r="W171" s="273"/>
      <c r="X171" s="273"/>
    </row>
    <row r="172" outlineLevel="1">
      <c r="A172" s="86" t="str">
        <f>A141</f>
        <v>Экономический эффект от снижения расходов на привлечение новых кандидатов </v>
      </c>
      <c r="B172" s="179">
        <f>B150</f>
        <v>121564800</v>
      </c>
      <c r="C172" s="23"/>
      <c r="D172" s="273"/>
      <c r="E172" s="273"/>
      <c r="F172" s="273"/>
      <c r="G172" s="273"/>
      <c r="H172" s="273"/>
      <c r="I172" s="273"/>
      <c r="J172" s="273"/>
      <c r="K172" s="273"/>
      <c r="L172" s="273"/>
      <c r="M172" s="273"/>
      <c r="N172" s="273"/>
      <c r="O172" s="273"/>
      <c r="P172" s="273"/>
      <c r="Q172" s="273"/>
      <c r="R172" s="273"/>
      <c r="S172" s="273"/>
      <c r="T172" s="273"/>
      <c r="U172" s="273"/>
      <c r="V172" s="273"/>
      <c r="W172" s="273"/>
      <c r="X172" s="273"/>
    </row>
    <row r="173" outlineLevel="1">
      <c r="A173" s="102" t="str">
        <f>A151</f>
        <v>Эффект от роста эффективности бюджета бренд-коммуникаций / снижения кадровых ошибок</v>
      </c>
      <c r="B173" s="179">
        <f>B157</f>
        <v>75600000</v>
      </c>
      <c r="C173" s="23"/>
      <c r="D173" s="273"/>
      <c r="E173" s="273"/>
      <c r="F173" s="273"/>
      <c r="G173" s="273"/>
      <c r="H173" s="273"/>
      <c r="I173" s="273"/>
      <c r="J173" s="273"/>
      <c r="K173" s="273"/>
      <c r="L173" s="273"/>
      <c r="M173" s="273"/>
      <c r="N173" s="273"/>
      <c r="O173" s="273"/>
      <c r="P173" s="273"/>
      <c r="Q173" s="273"/>
      <c r="R173" s="273"/>
      <c r="S173" s="273"/>
      <c r="T173" s="273"/>
      <c r="U173" s="273"/>
      <c r="V173" s="273"/>
      <c r="W173" s="273"/>
      <c r="X173" s="273"/>
    </row>
    <row r="174" outlineLevel="1">
      <c r="A174" s="86" t="str">
        <f>A164</f>
        <v>Экономия на снижение текучки</v>
      </c>
      <c r="B174" s="179">
        <f>B170</f>
        <v>707616000</v>
      </c>
      <c r="C174" s="23"/>
      <c r="D174" s="273"/>
      <c r="E174" s="273"/>
      <c r="F174" s="273"/>
      <c r="G174" s="273"/>
      <c r="H174" s="273"/>
      <c r="I174" s="273"/>
      <c r="J174" s="273"/>
      <c r="K174" s="273"/>
      <c r="L174" s="273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3"/>
      <c r="X174" s="273"/>
    </row>
    <row r="175" outlineLevel="1">
      <c r="A175" s="102" t="s">
        <v>368</v>
      </c>
      <c r="B175" s="274">
        <f>B163</f>
        <v>100531200</v>
      </c>
      <c r="C175" s="141"/>
      <c r="D175" s="273"/>
      <c r="E175" s="273"/>
      <c r="F175" s="273"/>
      <c r="G175" s="273"/>
      <c r="H175" s="273"/>
      <c r="I175" s="273"/>
      <c r="J175" s="273"/>
      <c r="K175" s="273"/>
      <c r="L175" s="273"/>
      <c r="M175" s="273"/>
      <c r="N175" s="273"/>
      <c r="O175" s="273"/>
      <c r="P175" s="273"/>
      <c r="Q175" s="273"/>
      <c r="R175" s="273"/>
      <c r="S175" s="273"/>
      <c r="T175" s="273"/>
      <c r="U175" s="273"/>
      <c r="V175" s="273"/>
      <c r="W175" s="273"/>
      <c r="X175" s="273"/>
    </row>
    <row r="176" outlineLevel="1">
      <c r="A176" s="237" t="s">
        <v>372</v>
      </c>
      <c r="B176" s="274">
        <f>SUM(B172:B175)</f>
        <v>1005312000</v>
      </c>
      <c r="C176" s="141"/>
      <c r="D176" s="273"/>
      <c r="E176" s="273"/>
      <c r="F176" s="273"/>
      <c r="G176" s="273"/>
      <c r="H176" s="273"/>
      <c r="I176" s="273"/>
      <c r="J176" s="273"/>
      <c r="K176" s="273"/>
      <c r="L176" s="273"/>
      <c r="M176" s="273"/>
      <c r="N176" s="273"/>
      <c r="O176" s="273"/>
      <c r="P176" s="273"/>
      <c r="Q176" s="273"/>
      <c r="R176" s="273"/>
      <c r="S176" s="273"/>
      <c r="T176" s="273"/>
      <c r="U176" s="273"/>
      <c r="V176" s="273"/>
      <c r="W176" s="273"/>
      <c r="X176" s="273"/>
    </row>
    <row r="177" outlineLevel="1">
      <c r="A177" s="80"/>
      <c r="B177" s="275"/>
      <c r="C177" s="141"/>
      <c r="D177" s="273"/>
      <c r="E177" s="273"/>
      <c r="F177" s="273"/>
      <c r="G177" s="273"/>
      <c r="H177" s="273"/>
      <c r="I177" s="273"/>
      <c r="J177" s="273"/>
      <c r="K177" s="273"/>
      <c r="L177" s="273"/>
      <c r="M177" s="273"/>
      <c r="N177" s="273"/>
      <c r="O177" s="273"/>
      <c r="P177" s="273"/>
      <c r="Q177" s="273"/>
      <c r="R177" s="273"/>
      <c r="S177" s="273"/>
      <c r="T177" s="273"/>
      <c r="U177" s="273"/>
      <c r="V177" s="273"/>
      <c r="W177" s="273"/>
      <c r="X177" s="273"/>
    </row>
    <row r="178" outlineLevel="1">
      <c r="A178" s="276" t="s">
        <v>373</v>
      </c>
      <c r="B178" s="277">
        <f>1400000</f>
        <v>1400000</v>
      </c>
      <c r="C178" s="261"/>
      <c r="D178" s="273"/>
      <c r="E178" s="273"/>
      <c r="F178" s="273"/>
      <c r="G178" s="273"/>
      <c r="H178" s="273"/>
      <c r="I178" s="273"/>
      <c r="J178" s="273"/>
      <c r="K178" s="273"/>
      <c r="L178" s="273"/>
      <c r="M178" s="273"/>
      <c r="N178" s="273"/>
      <c r="O178" s="273"/>
      <c r="P178" s="273"/>
      <c r="Q178" s="273"/>
      <c r="R178" s="273"/>
      <c r="S178" s="273"/>
      <c r="T178" s="273"/>
      <c r="U178" s="273"/>
      <c r="V178" s="273"/>
      <c r="W178" s="273"/>
      <c r="X178" s="273"/>
    </row>
    <row r="179" outlineLevel="1">
      <c r="A179" s="278" t="s">
        <v>374</v>
      </c>
      <c r="B179" s="120">
        <f>((((300000*0.2)+(0.5*200000)+(100000*0.5)+(150*0.01*110000)*1.6)*2))</f>
        <v>948000</v>
      </c>
      <c r="C179" s="279" t="s">
        <v>375</v>
      </c>
      <c r="D179" s="273"/>
      <c r="E179" s="273"/>
      <c r="F179" s="273"/>
      <c r="G179" s="273"/>
      <c r="H179" s="273"/>
      <c r="I179" s="273"/>
      <c r="J179" s="273"/>
      <c r="K179" s="273"/>
      <c r="L179" s="273"/>
      <c r="M179" s="273"/>
      <c r="N179" s="273"/>
      <c r="O179" s="273"/>
      <c r="P179" s="273"/>
      <c r="Q179" s="273"/>
      <c r="R179" s="273"/>
      <c r="S179" s="273"/>
      <c r="T179" s="273"/>
      <c r="U179" s="273"/>
      <c r="V179" s="273"/>
      <c r="W179" s="273"/>
      <c r="X179" s="273"/>
    </row>
    <row r="180" outlineLevel="1">
      <c r="A180" s="122" t="s">
        <v>151</v>
      </c>
      <c r="B180" s="123">
        <f>B178+B179</f>
        <v>2348000</v>
      </c>
      <c r="C180" s="280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3"/>
      <c r="X180" s="113"/>
    </row>
    <row r="181" outlineLevel="1">
      <c r="A181" s="126" t="s">
        <v>155</v>
      </c>
      <c r="B181" s="128">
        <f>(B176-B180)/B180</f>
        <v>427.1567291</v>
      </c>
      <c r="C181" s="280"/>
      <c r="D181" s="112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3"/>
      <c r="X181" s="113"/>
    </row>
    <row r="182">
      <c r="A182" s="17"/>
      <c r="B182" s="17"/>
      <c r="C182" s="207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>
      <c r="A183" s="17"/>
      <c r="B183" s="17"/>
      <c r="C183" s="207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>
      <c r="A184" s="17"/>
      <c r="B184" s="17"/>
      <c r="C184" s="250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>
      <c r="A185" s="17"/>
      <c r="B185" s="17"/>
      <c r="C185" s="250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>
      <c r="A186" s="17"/>
      <c r="B186" s="17"/>
      <c r="C186" s="250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>
      <c r="A187" s="17"/>
      <c r="B187" s="17"/>
      <c r="C187" s="250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>
      <c r="A188" s="17"/>
      <c r="B188" s="17"/>
      <c r="C188" s="250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>
      <c r="A189" s="17"/>
      <c r="B189" s="17"/>
      <c r="C189" s="250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>
      <c r="A190" s="17"/>
      <c r="B190" s="17"/>
      <c r="C190" s="250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>
      <c r="A191" s="17"/>
      <c r="B191" s="17"/>
      <c r="C191" s="250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>
      <c r="A192" s="17"/>
      <c r="B192" s="17"/>
      <c r="C192" s="250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>
      <c r="A193" s="17"/>
      <c r="B193" s="17"/>
      <c r="C193" s="250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>
      <c r="A194" s="17"/>
      <c r="B194" s="17"/>
      <c r="C194" s="250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>
      <c r="A195" s="17"/>
      <c r="B195" s="17"/>
      <c r="C195" s="250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>
      <c r="A196" s="17"/>
      <c r="B196" s="17"/>
      <c r="C196" s="250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>
      <c r="A197" s="17"/>
      <c r="B197" s="17"/>
      <c r="C197" s="250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>
      <c r="A198" s="17"/>
      <c r="B198" s="17"/>
      <c r="C198" s="250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>
      <c r="A199" s="17"/>
      <c r="B199" s="17"/>
      <c r="C199" s="250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>
      <c r="A200" s="17"/>
      <c r="B200" s="17"/>
      <c r="C200" s="250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>
      <c r="A201" s="17"/>
      <c r="B201" s="17"/>
      <c r="C201" s="250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>
      <c r="A202" s="17"/>
      <c r="B202" s="17"/>
      <c r="C202" s="250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>
      <c r="A203" s="17"/>
      <c r="B203" s="17"/>
      <c r="C203" s="250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>
      <c r="A204" s="17"/>
      <c r="B204" s="17"/>
      <c r="C204" s="250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>
      <c r="A205" s="17"/>
      <c r="B205" s="17"/>
      <c r="C205" s="250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>
      <c r="A206" s="17"/>
      <c r="B206" s="17"/>
      <c r="C206" s="250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>
      <c r="A207" s="17"/>
      <c r="B207" s="17"/>
      <c r="C207" s="250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>
      <c r="A208" s="17"/>
      <c r="B208" s="17"/>
      <c r="C208" s="250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>
      <c r="A209" s="17"/>
      <c r="B209" s="17"/>
      <c r="C209" s="250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>
      <c r="A210" s="17"/>
      <c r="B210" s="17"/>
      <c r="C210" s="250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>
      <c r="A211" s="17"/>
      <c r="B211" s="17"/>
      <c r="C211" s="250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>
      <c r="A212" s="17"/>
      <c r="B212" s="17"/>
      <c r="C212" s="250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>
      <c r="A213" s="17"/>
      <c r="B213" s="17"/>
      <c r="C213" s="250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>
      <c r="A214" s="17"/>
      <c r="B214" s="17"/>
      <c r="C214" s="250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>
      <c r="A215" s="17"/>
      <c r="B215" s="17"/>
      <c r="C215" s="250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>
      <c r="A216" s="17"/>
      <c r="B216" s="17"/>
      <c r="C216" s="250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>
      <c r="A217" s="17"/>
      <c r="B217" s="17"/>
      <c r="C217" s="250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>
      <c r="A218" s="17"/>
      <c r="B218" s="17"/>
      <c r="C218" s="250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>
      <c r="A219" s="17"/>
      <c r="B219" s="17"/>
      <c r="C219" s="250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>
      <c r="A220" s="17"/>
      <c r="B220" s="17"/>
      <c r="C220" s="250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>
      <c r="A221" s="17"/>
      <c r="B221" s="17"/>
      <c r="C221" s="250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>
      <c r="A222" s="17"/>
      <c r="B222" s="17"/>
      <c r="C222" s="250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>
      <c r="A223" s="17"/>
      <c r="B223" s="17"/>
      <c r="C223" s="250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>
      <c r="A224" s="17"/>
      <c r="B224" s="17"/>
      <c r="C224" s="250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>
      <c r="A225" s="17"/>
      <c r="B225" s="17"/>
      <c r="C225" s="250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>
      <c r="A226" s="17"/>
      <c r="B226" s="17"/>
      <c r="C226" s="250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>
      <c r="A227" s="17"/>
      <c r="B227" s="17"/>
      <c r="C227" s="250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>
      <c r="A228" s="17"/>
      <c r="B228" s="17"/>
      <c r="C228" s="250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>
      <c r="A229" s="17"/>
      <c r="B229" s="17"/>
      <c r="C229" s="250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>
      <c r="A230" s="17"/>
      <c r="B230" s="17"/>
      <c r="C230" s="250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>
      <c r="A231" s="17"/>
      <c r="B231" s="17"/>
      <c r="C231" s="250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>
      <c r="A232" s="17"/>
      <c r="B232" s="17"/>
      <c r="C232" s="250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>
      <c r="A233" s="17"/>
      <c r="B233" s="17"/>
      <c r="C233" s="250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>
      <c r="A234" s="17"/>
      <c r="B234" s="17"/>
      <c r="C234" s="250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>
      <c r="A235" s="17"/>
      <c r="B235" s="17"/>
      <c r="C235" s="250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>
      <c r="A236" s="17"/>
      <c r="B236" s="17"/>
      <c r="C236" s="250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>
      <c r="A237" s="17"/>
      <c r="B237" s="17"/>
      <c r="C237" s="250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>
      <c r="A238" s="17"/>
      <c r="B238" s="17"/>
      <c r="C238" s="250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>
      <c r="A239" s="17"/>
      <c r="B239" s="17"/>
      <c r="C239" s="250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>
      <c r="A240" s="17"/>
      <c r="B240" s="17"/>
      <c r="C240" s="250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>
      <c r="A241" s="17"/>
      <c r="B241" s="17"/>
      <c r="C241" s="250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>
      <c r="A242" s="17"/>
      <c r="B242" s="17"/>
      <c r="C242" s="250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>
      <c r="A243" s="17"/>
      <c r="B243" s="17"/>
      <c r="C243" s="250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>
      <c r="A244" s="17"/>
      <c r="B244" s="17"/>
      <c r="C244" s="250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>
      <c r="A245" s="17"/>
      <c r="B245" s="17"/>
      <c r="C245" s="250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>
      <c r="A246" s="17"/>
      <c r="B246" s="17"/>
      <c r="C246" s="250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>
      <c r="A247" s="17"/>
      <c r="B247" s="17"/>
      <c r="C247" s="250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>
      <c r="A248" s="17"/>
      <c r="B248" s="17"/>
      <c r="C248" s="250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>
      <c r="A249" s="17"/>
      <c r="B249" s="17"/>
      <c r="C249" s="250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>
      <c r="A250" s="17"/>
      <c r="B250" s="17"/>
      <c r="C250" s="250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>
      <c r="A251" s="17"/>
      <c r="B251" s="17"/>
      <c r="C251" s="250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>
      <c r="A252" s="17"/>
      <c r="B252" s="17"/>
      <c r="C252" s="250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>
      <c r="A253" s="17"/>
      <c r="B253" s="17"/>
      <c r="C253" s="250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>
      <c r="A254" s="17"/>
      <c r="B254" s="17"/>
      <c r="C254" s="250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>
      <c r="A255" s="17"/>
      <c r="B255" s="17"/>
      <c r="C255" s="250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>
      <c r="A256" s="17"/>
      <c r="B256" s="17"/>
      <c r="C256" s="250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>
      <c r="A257" s="17"/>
      <c r="B257" s="17"/>
      <c r="C257" s="250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>
      <c r="A258" s="17"/>
      <c r="B258" s="17"/>
      <c r="C258" s="250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>
      <c r="A259" s="17"/>
      <c r="B259" s="17"/>
      <c r="C259" s="250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>
      <c r="A260" s="17"/>
      <c r="B260" s="17"/>
      <c r="C260" s="250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>
      <c r="A261" s="17"/>
      <c r="B261" s="17"/>
      <c r="C261" s="250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>
      <c r="A262" s="17"/>
      <c r="B262" s="17"/>
      <c r="C262" s="250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>
      <c r="A263" s="17"/>
      <c r="B263" s="17"/>
      <c r="C263" s="250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>
      <c r="A264" s="17"/>
      <c r="B264" s="17"/>
      <c r="C264" s="250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>
      <c r="A265" s="17"/>
      <c r="B265" s="17"/>
      <c r="C265" s="250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>
      <c r="A266" s="17"/>
      <c r="B266" s="17"/>
      <c r="C266" s="250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>
      <c r="A267" s="17"/>
      <c r="B267" s="17"/>
      <c r="C267" s="250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>
      <c r="A268" s="17"/>
      <c r="B268" s="17"/>
      <c r="C268" s="250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>
      <c r="A269" s="17"/>
      <c r="B269" s="17"/>
      <c r="C269" s="250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>
      <c r="A270" s="17"/>
      <c r="B270" s="17"/>
      <c r="C270" s="250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>
      <c r="A271" s="17"/>
      <c r="B271" s="17"/>
      <c r="C271" s="250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>
      <c r="A272" s="17"/>
      <c r="B272" s="17"/>
      <c r="C272" s="250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>
      <c r="A273" s="17"/>
      <c r="B273" s="17"/>
      <c r="C273" s="250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>
      <c r="A274" s="17"/>
      <c r="B274" s="17"/>
      <c r="C274" s="250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>
      <c r="A275" s="17"/>
      <c r="B275" s="17"/>
      <c r="C275" s="250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>
      <c r="A276" s="17"/>
      <c r="B276" s="17"/>
      <c r="C276" s="250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>
      <c r="A277" s="17"/>
      <c r="B277" s="17"/>
      <c r="C277" s="250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>
      <c r="A278" s="17"/>
      <c r="B278" s="17"/>
      <c r="C278" s="250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>
      <c r="A279" s="17"/>
      <c r="B279" s="17"/>
      <c r="C279" s="250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>
      <c r="A280" s="17"/>
      <c r="B280" s="17"/>
      <c r="C280" s="250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>
      <c r="A281" s="17"/>
      <c r="B281" s="17"/>
      <c r="C281" s="250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>
      <c r="A282" s="17"/>
      <c r="B282" s="17"/>
      <c r="C282" s="250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>
      <c r="A283" s="17"/>
      <c r="B283" s="17"/>
      <c r="C283" s="250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>
      <c r="A284" s="17"/>
      <c r="B284" s="17"/>
      <c r="C284" s="250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>
      <c r="A285" s="17"/>
      <c r="B285" s="17"/>
      <c r="C285" s="250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>
      <c r="A286" s="17"/>
      <c r="B286" s="17"/>
      <c r="C286" s="250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>
      <c r="A287" s="17"/>
      <c r="B287" s="17"/>
      <c r="C287" s="250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>
      <c r="A288" s="17"/>
      <c r="B288" s="17"/>
      <c r="C288" s="250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>
      <c r="A289" s="17"/>
      <c r="B289" s="17"/>
      <c r="C289" s="250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>
      <c r="A290" s="17"/>
      <c r="B290" s="17"/>
      <c r="C290" s="250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>
      <c r="A291" s="17"/>
      <c r="B291" s="17"/>
      <c r="C291" s="250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>
      <c r="A292" s="17"/>
      <c r="B292" s="17"/>
      <c r="C292" s="250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>
      <c r="A293" s="17"/>
      <c r="B293" s="17"/>
      <c r="C293" s="250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>
      <c r="A294" s="17"/>
      <c r="B294" s="17"/>
      <c r="C294" s="250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>
      <c r="A295" s="17"/>
      <c r="B295" s="17"/>
      <c r="C295" s="250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>
      <c r="A296" s="17"/>
      <c r="B296" s="17"/>
      <c r="C296" s="250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>
      <c r="A297" s="17"/>
      <c r="B297" s="17"/>
      <c r="C297" s="250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>
      <c r="A298" s="17"/>
      <c r="B298" s="17"/>
      <c r="C298" s="250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>
      <c r="A299" s="17"/>
      <c r="B299" s="17"/>
      <c r="C299" s="250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>
      <c r="A300" s="17"/>
      <c r="B300" s="17"/>
      <c r="C300" s="250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>
      <c r="A301" s="17"/>
      <c r="B301" s="17"/>
      <c r="C301" s="250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>
      <c r="A302" s="17"/>
      <c r="B302" s="17"/>
      <c r="C302" s="250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>
      <c r="A303" s="17"/>
      <c r="B303" s="17"/>
      <c r="C303" s="250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>
      <c r="A304" s="17"/>
      <c r="B304" s="17"/>
      <c r="C304" s="250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>
      <c r="A305" s="17"/>
      <c r="B305" s="17"/>
      <c r="C305" s="250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>
      <c r="A306" s="17"/>
      <c r="B306" s="17"/>
      <c r="C306" s="250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>
      <c r="A307" s="17"/>
      <c r="B307" s="17"/>
      <c r="C307" s="250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>
      <c r="A308" s="17"/>
      <c r="B308" s="17"/>
      <c r="C308" s="250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>
      <c r="A309" s="17"/>
      <c r="B309" s="17"/>
      <c r="C309" s="250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>
      <c r="A310" s="17"/>
      <c r="B310" s="17"/>
      <c r="C310" s="250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>
      <c r="A311" s="17"/>
      <c r="B311" s="17"/>
      <c r="C311" s="250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>
      <c r="A312" s="17"/>
      <c r="B312" s="17"/>
      <c r="C312" s="250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>
      <c r="A313" s="17"/>
      <c r="B313" s="17"/>
      <c r="C313" s="250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>
      <c r="A314" s="17"/>
      <c r="B314" s="17"/>
      <c r="C314" s="250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>
      <c r="A315" s="17"/>
      <c r="B315" s="17"/>
      <c r="C315" s="250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>
      <c r="A316" s="17"/>
      <c r="B316" s="17"/>
      <c r="C316" s="250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>
      <c r="A317" s="17"/>
      <c r="B317" s="17"/>
      <c r="C317" s="250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>
      <c r="A318" s="17"/>
      <c r="B318" s="17"/>
      <c r="C318" s="250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>
      <c r="A319" s="17"/>
      <c r="B319" s="17"/>
      <c r="C319" s="250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>
      <c r="A320" s="17"/>
      <c r="B320" s="17"/>
      <c r="C320" s="250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>
      <c r="A321" s="17"/>
      <c r="B321" s="17"/>
      <c r="C321" s="250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>
      <c r="A322" s="17"/>
      <c r="B322" s="17"/>
      <c r="C322" s="250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>
      <c r="A323" s="17"/>
      <c r="B323" s="17"/>
      <c r="C323" s="250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>
      <c r="A324" s="17"/>
      <c r="B324" s="17"/>
      <c r="C324" s="250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>
      <c r="A325" s="17"/>
      <c r="B325" s="17"/>
      <c r="C325" s="250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>
      <c r="A326" s="17"/>
      <c r="B326" s="17"/>
      <c r="C326" s="250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>
      <c r="A327" s="17"/>
      <c r="B327" s="17"/>
      <c r="C327" s="250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>
      <c r="A328" s="17"/>
      <c r="B328" s="17"/>
      <c r="C328" s="250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>
      <c r="A329" s="17"/>
      <c r="B329" s="17"/>
      <c r="C329" s="250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>
      <c r="A330" s="17"/>
      <c r="B330" s="17"/>
      <c r="C330" s="250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>
      <c r="A331" s="17"/>
      <c r="B331" s="17"/>
      <c r="C331" s="250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>
      <c r="A332" s="17"/>
      <c r="B332" s="17"/>
      <c r="C332" s="250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>
      <c r="A333" s="17"/>
      <c r="B333" s="17"/>
      <c r="C333" s="250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>
      <c r="A334" s="17"/>
      <c r="B334" s="17"/>
      <c r="C334" s="250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>
      <c r="A335" s="17"/>
      <c r="B335" s="17"/>
      <c r="C335" s="250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>
      <c r="A336" s="17"/>
      <c r="B336" s="17"/>
      <c r="C336" s="250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>
      <c r="A337" s="17"/>
      <c r="B337" s="17"/>
      <c r="C337" s="250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>
      <c r="A338" s="17"/>
      <c r="B338" s="17"/>
      <c r="C338" s="250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>
      <c r="A339" s="17"/>
      <c r="B339" s="17"/>
      <c r="C339" s="250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>
      <c r="A340" s="17"/>
      <c r="B340" s="17"/>
      <c r="C340" s="250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>
      <c r="A341" s="17"/>
      <c r="B341" s="17"/>
      <c r="C341" s="250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>
      <c r="A342" s="17"/>
      <c r="B342" s="17"/>
      <c r="C342" s="250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>
      <c r="A343" s="17"/>
      <c r="B343" s="17"/>
      <c r="C343" s="250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>
      <c r="A344" s="17"/>
      <c r="B344" s="17"/>
      <c r="C344" s="250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>
      <c r="A345" s="17"/>
      <c r="B345" s="17"/>
      <c r="C345" s="250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>
      <c r="A346" s="17"/>
      <c r="B346" s="17"/>
      <c r="C346" s="250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>
      <c r="A347" s="17"/>
      <c r="B347" s="17"/>
      <c r="C347" s="250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>
      <c r="A348" s="17"/>
      <c r="B348" s="17"/>
      <c r="C348" s="250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>
      <c r="A349" s="17"/>
      <c r="B349" s="17"/>
      <c r="C349" s="250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>
      <c r="A350" s="17"/>
      <c r="B350" s="17"/>
      <c r="C350" s="250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>
      <c r="A351" s="17"/>
      <c r="B351" s="17"/>
      <c r="C351" s="250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>
      <c r="A352" s="17"/>
      <c r="B352" s="17"/>
      <c r="C352" s="250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>
      <c r="A353" s="17"/>
      <c r="B353" s="17"/>
      <c r="C353" s="250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>
      <c r="A354" s="17"/>
      <c r="B354" s="17"/>
      <c r="C354" s="250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>
      <c r="A355" s="17"/>
      <c r="B355" s="17"/>
      <c r="C355" s="250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>
      <c r="A356" s="17"/>
      <c r="B356" s="17"/>
      <c r="C356" s="250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>
      <c r="A357" s="17"/>
      <c r="B357" s="17"/>
      <c r="C357" s="250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>
      <c r="A358" s="17"/>
      <c r="B358" s="17"/>
      <c r="C358" s="250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>
      <c r="A359" s="17"/>
      <c r="B359" s="17"/>
      <c r="C359" s="250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>
      <c r="A360" s="17"/>
      <c r="B360" s="17"/>
      <c r="C360" s="250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>
      <c r="A361" s="17"/>
      <c r="B361" s="17"/>
      <c r="C361" s="250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>
      <c r="A362" s="17"/>
      <c r="B362" s="17"/>
      <c r="C362" s="250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>
      <c r="A363" s="17"/>
      <c r="B363" s="17"/>
      <c r="C363" s="250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>
      <c r="A364" s="17"/>
      <c r="B364" s="17"/>
      <c r="C364" s="250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>
      <c r="A365" s="17"/>
      <c r="B365" s="17"/>
      <c r="C365" s="250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>
      <c r="A366" s="17"/>
      <c r="B366" s="17"/>
      <c r="C366" s="250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>
      <c r="A367" s="17"/>
      <c r="B367" s="17"/>
      <c r="C367" s="250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>
      <c r="A368" s="17"/>
      <c r="B368" s="17"/>
      <c r="C368" s="250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>
      <c r="A369" s="17"/>
      <c r="B369" s="17"/>
      <c r="C369" s="250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>
      <c r="A370" s="17"/>
      <c r="B370" s="17"/>
      <c r="C370" s="250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>
      <c r="A371" s="17"/>
      <c r="B371" s="17"/>
      <c r="C371" s="250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>
      <c r="A372" s="17"/>
      <c r="B372" s="17"/>
      <c r="C372" s="250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>
      <c r="A373" s="17"/>
      <c r="B373" s="17"/>
      <c r="C373" s="250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>
      <c r="A374" s="17"/>
      <c r="B374" s="17"/>
      <c r="C374" s="250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>
      <c r="A375" s="17"/>
      <c r="B375" s="17"/>
      <c r="C375" s="250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>
      <c r="A376" s="17"/>
      <c r="B376" s="17"/>
      <c r="C376" s="250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>
      <c r="A377" s="17"/>
      <c r="B377" s="17"/>
      <c r="C377" s="250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>
      <c r="A378" s="17"/>
      <c r="B378" s="17"/>
      <c r="C378" s="250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>
      <c r="A379" s="17"/>
      <c r="B379" s="17"/>
      <c r="C379" s="250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>
      <c r="A380" s="17"/>
      <c r="B380" s="17"/>
      <c r="C380" s="250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>
      <c r="A381" s="17"/>
      <c r="B381" s="17"/>
      <c r="C381" s="250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>
      <c r="A382" s="17"/>
      <c r="B382" s="17"/>
      <c r="C382" s="250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>
      <c r="A383" s="17"/>
      <c r="B383" s="17"/>
      <c r="C383" s="250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>
      <c r="A384" s="17"/>
      <c r="B384" s="17"/>
      <c r="C384" s="250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>
      <c r="A385" s="17"/>
      <c r="B385" s="17"/>
      <c r="C385" s="250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>
      <c r="A386" s="17"/>
      <c r="B386" s="17"/>
      <c r="C386" s="250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>
      <c r="A387" s="17"/>
      <c r="B387" s="17"/>
      <c r="C387" s="250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>
      <c r="A388" s="17"/>
      <c r="B388" s="17"/>
      <c r="C388" s="250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>
      <c r="A389" s="17"/>
      <c r="B389" s="17"/>
      <c r="C389" s="250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>
      <c r="A390" s="17"/>
      <c r="B390" s="17"/>
      <c r="C390" s="250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>
      <c r="A391" s="17"/>
      <c r="B391" s="17"/>
      <c r="C391" s="250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>
      <c r="A392" s="17"/>
      <c r="B392" s="17"/>
      <c r="C392" s="250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>
      <c r="A393" s="17"/>
      <c r="B393" s="17"/>
      <c r="C393" s="250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>
      <c r="A394" s="17"/>
      <c r="B394" s="17"/>
      <c r="C394" s="250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>
      <c r="A395" s="17"/>
      <c r="B395" s="17"/>
      <c r="C395" s="250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>
      <c r="A396" s="17"/>
      <c r="B396" s="17"/>
      <c r="C396" s="250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>
      <c r="A397" s="17"/>
      <c r="B397" s="17"/>
      <c r="C397" s="250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>
      <c r="A398" s="17"/>
      <c r="B398" s="17"/>
      <c r="C398" s="250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>
      <c r="A399" s="17"/>
      <c r="B399" s="17"/>
      <c r="C399" s="250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>
      <c r="A400" s="17"/>
      <c r="B400" s="17"/>
      <c r="C400" s="250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>
      <c r="A401" s="17"/>
      <c r="B401" s="17"/>
      <c r="C401" s="250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>
      <c r="A402" s="17"/>
      <c r="B402" s="17"/>
      <c r="C402" s="250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>
      <c r="A403" s="17"/>
      <c r="B403" s="17"/>
      <c r="C403" s="250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>
      <c r="A404" s="17"/>
      <c r="B404" s="17"/>
      <c r="C404" s="250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>
      <c r="A405" s="17"/>
      <c r="B405" s="17"/>
      <c r="C405" s="250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>
      <c r="A406" s="17"/>
      <c r="B406" s="17"/>
      <c r="C406" s="250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>
      <c r="A407" s="17"/>
      <c r="B407" s="17"/>
      <c r="C407" s="250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>
      <c r="A408" s="17"/>
      <c r="B408" s="17"/>
      <c r="C408" s="250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>
      <c r="A409" s="17"/>
      <c r="B409" s="17"/>
      <c r="C409" s="250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>
      <c r="A410" s="17"/>
      <c r="B410" s="17"/>
      <c r="C410" s="250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>
      <c r="A411" s="17"/>
      <c r="B411" s="17"/>
      <c r="C411" s="250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>
      <c r="A412" s="17"/>
      <c r="B412" s="17"/>
      <c r="C412" s="250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>
      <c r="A413" s="17"/>
      <c r="B413" s="17"/>
      <c r="C413" s="250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>
      <c r="A414" s="17"/>
      <c r="B414" s="17"/>
      <c r="C414" s="250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>
      <c r="A415" s="17"/>
      <c r="B415" s="17"/>
      <c r="C415" s="250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>
      <c r="A416" s="17"/>
      <c r="B416" s="17"/>
      <c r="C416" s="250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>
      <c r="A417" s="17"/>
      <c r="B417" s="17"/>
      <c r="C417" s="250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>
      <c r="A418" s="17"/>
      <c r="B418" s="17"/>
      <c r="C418" s="250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>
      <c r="A419" s="17"/>
      <c r="B419" s="17"/>
      <c r="C419" s="250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>
      <c r="A420" s="17"/>
      <c r="B420" s="17"/>
      <c r="C420" s="250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>
      <c r="A421" s="17"/>
      <c r="B421" s="17"/>
      <c r="C421" s="250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>
      <c r="A422" s="17"/>
      <c r="B422" s="17"/>
      <c r="C422" s="250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>
      <c r="A423" s="17"/>
      <c r="B423" s="17"/>
      <c r="C423" s="250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>
      <c r="A424" s="17"/>
      <c r="B424" s="17"/>
      <c r="C424" s="250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>
      <c r="A425" s="17"/>
      <c r="B425" s="17"/>
      <c r="C425" s="250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>
      <c r="A426" s="17"/>
      <c r="B426" s="17"/>
      <c r="C426" s="250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>
      <c r="A427" s="17"/>
      <c r="B427" s="17"/>
      <c r="C427" s="250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>
      <c r="A428" s="17"/>
      <c r="B428" s="17"/>
      <c r="C428" s="250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>
      <c r="A429" s="17"/>
      <c r="B429" s="17"/>
      <c r="C429" s="250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>
      <c r="A430" s="17"/>
      <c r="B430" s="17"/>
      <c r="C430" s="250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>
      <c r="A431" s="17"/>
      <c r="B431" s="17"/>
      <c r="C431" s="250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>
      <c r="A432" s="17"/>
      <c r="B432" s="17"/>
      <c r="C432" s="250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>
      <c r="A433" s="17"/>
      <c r="B433" s="17"/>
      <c r="C433" s="250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>
      <c r="A434" s="17"/>
      <c r="B434" s="17"/>
      <c r="C434" s="250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>
      <c r="A435" s="17"/>
      <c r="B435" s="17"/>
      <c r="C435" s="250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>
      <c r="A436" s="17"/>
      <c r="B436" s="17"/>
      <c r="C436" s="250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>
      <c r="A437" s="17"/>
      <c r="B437" s="17"/>
      <c r="C437" s="250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>
      <c r="A438" s="17"/>
      <c r="B438" s="17"/>
      <c r="C438" s="250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>
      <c r="A439" s="17"/>
      <c r="B439" s="17"/>
      <c r="C439" s="250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>
      <c r="A440" s="17"/>
      <c r="B440" s="17"/>
      <c r="C440" s="250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>
      <c r="A441" s="17"/>
      <c r="B441" s="17"/>
      <c r="C441" s="250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>
      <c r="A442" s="17"/>
      <c r="B442" s="17"/>
      <c r="C442" s="250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>
      <c r="A443" s="17"/>
      <c r="B443" s="17"/>
      <c r="C443" s="250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>
      <c r="A444" s="17"/>
      <c r="B444" s="17"/>
      <c r="C444" s="250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>
      <c r="A445" s="17"/>
      <c r="B445" s="17"/>
      <c r="C445" s="250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>
      <c r="A446" s="17"/>
      <c r="B446" s="17"/>
      <c r="C446" s="250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>
      <c r="A447" s="17"/>
      <c r="B447" s="17"/>
      <c r="C447" s="250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>
      <c r="A448" s="17"/>
      <c r="B448" s="17"/>
      <c r="C448" s="250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>
      <c r="A449" s="17"/>
      <c r="B449" s="17"/>
      <c r="C449" s="250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>
      <c r="A450" s="17"/>
      <c r="B450" s="17"/>
      <c r="C450" s="250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>
      <c r="A451" s="17"/>
      <c r="B451" s="17"/>
      <c r="C451" s="250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>
      <c r="A452" s="17"/>
      <c r="B452" s="17"/>
      <c r="C452" s="250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>
      <c r="A453" s="17"/>
      <c r="B453" s="17"/>
      <c r="C453" s="250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>
      <c r="A454" s="17"/>
      <c r="B454" s="17"/>
      <c r="C454" s="250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>
      <c r="A455" s="17"/>
      <c r="B455" s="17"/>
      <c r="C455" s="250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>
      <c r="A456" s="17"/>
      <c r="B456" s="17"/>
      <c r="C456" s="250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>
      <c r="A457" s="17"/>
      <c r="B457" s="17"/>
      <c r="C457" s="250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>
      <c r="A458" s="17"/>
      <c r="B458" s="17"/>
      <c r="C458" s="250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>
      <c r="A459" s="17"/>
      <c r="B459" s="17"/>
      <c r="C459" s="250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>
      <c r="A460" s="17"/>
      <c r="B460" s="17"/>
      <c r="C460" s="250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>
      <c r="A461" s="17"/>
      <c r="B461" s="17"/>
      <c r="C461" s="250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>
      <c r="A462" s="17"/>
      <c r="B462" s="17"/>
      <c r="C462" s="250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>
      <c r="A463" s="17"/>
      <c r="B463" s="17"/>
      <c r="C463" s="250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>
      <c r="A464" s="17"/>
      <c r="B464" s="17"/>
      <c r="C464" s="250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>
      <c r="A465" s="17"/>
      <c r="B465" s="17"/>
      <c r="C465" s="250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>
      <c r="A466" s="17"/>
      <c r="B466" s="17"/>
      <c r="C466" s="250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>
      <c r="A467" s="17"/>
      <c r="B467" s="17"/>
      <c r="C467" s="250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>
      <c r="A468" s="17"/>
      <c r="B468" s="17"/>
      <c r="C468" s="250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>
      <c r="A469" s="17"/>
      <c r="B469" s="17"/>
      <c r="C469" s="250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>
      <c r="A470" s="17"/>
      <c r="B470" s="17"/>
      <c r="C470" s="250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>
      <c r="A471" s="17"/>
      <c r="B471" s="17"/>
      <c r="C471" s="250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>
      <c r="A472" s="17"/>
      <c r="B472" s="17"/>
      <c r="C472" s="250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>
      <c r="A473" s="17"/>
      <c r="B473" s="17"/>
      <c r="C473" s="250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>
      <c r="A474" s="17"/>
      <c r="B474" s="17"/>
      <c r="C474" s="250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>
      <c r="A475" s="17"/>
      <c r="B475" s="17"/>
      <c r="C475" s="250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>
      <c r="A476" s="17"/>
      <c r="B476" s="17"/>
      <c r="C476" s="250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>
      <c r="A477" s="17"/>
      <c r="B477" s="17"/>
      <c r="C477" s="250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>
      <c r="A478" s="17"/>
      <c r="B478" s="17"/>
      <c r="C478" s="250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>
      <c r="A479" s="17"/>
      <c r="B479" s="17"/>
      <c r="C479" s="250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>
      <c r="A480" s="17"/>
      <c r="B480" s="17"/>
      <c r="C480" s="250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>
      <c r="A481" s="17"/>
      <c r="B481" s="17"/>
      <c r="C481" s="250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>
      <c r="A482" s="17"/>
      <c r="B482" s="17"/>
      <c r="C482" s="250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>
      <c r="A483" s="17"/>
      <c r="B483" s="17"/>
      <c r="C483" s="250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>
      <c r="A484" s="17"/>
      <c r="B484" s="17"/>
      <c r="C484" s="250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>
      <c r="A485" s="17"/>
      <c r="B485" s="17"/>
      <c r="C485" s="250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>
      <c r="A486" s="17"/>
      <c r="B486" s="17"/>
      <c r="C486" s="250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>
      <c r="A487" s="17"/>
      <c r="B487" s="17"/>
      <c r="C487" s="250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>
      <c r="A488" s="17"/>
      <c r="B488" s="17"/>
      <c r="C488" s="250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>
      <c r="A489" s="17"/>
      <c r="B489" s="17"/>
      <c r="C489" s="250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>
      <c r="A490" s="17"/>
      <c r="B490" s="17"/>
      <c r="C490" s="250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>
      <c r="A491" s="17"/>
      <c r="B491" s="17"/>
      <c r="C491" s="250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>
      <c r="A492" s="17"/>
      <c r="B492" s="17"/>
      <c r="C492" s="250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>
      <c r="A493" s="17"/>
      <c r="B493" s="17"/>
      <c r="C493" s="250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>
      <c r="A494" s="17"/>
      <c r="B494" s="17"/>
      <c r="C494" s="250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>
      <c r="A495" s="17"/>
      <c r="B495" s="17"/>
      <c r="C495" s="250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>
      <c r="A496" s="17"/>
      <c r="B496" s="17"/>
      <c r="C496" s="250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>
      <c r="A497" s="17"/>
      <c r="B497" s="17"/>
      <c r="C497" s="250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>
      <c r="A498" s="17"/>
      <c r="B498" s="17"/>
      <c r="C498" s="250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>
      <c r="A499" s="17"/>
      <c r="B499" s="17"/>
      <c r="C499" s="250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>
      <c r="A500" s="17"/>
      <c r="B500" s="17"/>
      <c r="C500" s="250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>
      <c r="A501" s="17"/>
      <c r="B501" s="17"/>
      <c r="C501" s="250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>
      <c r="A502" s="17"/>
      <c r="B502" s="17"/>
      <c r="C502" s="250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>
      <c r="A503" s="17"/>
      <c r="B503" s="17"/>
      <c r="C503" s="250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>
      <c r="A504" s="17"/>
      <c r="B504" s="17"/>
      <c r="C504" s="250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>
      <c r="A505" s="17"/>
      <c r="B505" s="17"/>
      <c r="C505" s="250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>
      <c r="A506" s="17"/>
      <c r="B506" s="17"/>
      <c r="C506" s="250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>
      <c r="A507" s="17"/>
      <c r="B507" s="17"/>
      <c r="C507" s="250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>
      <c r="A508" s="17"/>
      <c r="B508" s="17"/>
      <c r="C508" s="250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>
      <c r="A509" s="17"/>
      <c r="B509" s="17"/>
      <c r="C509" s="250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>
      <c r="A510" s="17"/>
      <c r="B510" s="17"/>
      <c r="C510" s="250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>
      <c r="A511" s="17"/>
      <c r="B511" s="17"/>
      <c r="C511" s="250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>
      <c r="A512" s="17"/>
      <c r="B512" s="17"/>
      <c r="C512" s="250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>
      <c r="A513" s="17"/>
      <c r="B513" s="17"/>
      <c r="C513" s="250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>
      <c r="A514" s="17"/>
      <c r="B514" s="17"/>
      <c r="C514" s="250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>
      <c r="A515" s="17"/>
      <c r="B515" s="17"/>
      <c r="C515" s="250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>
      <c r="A516" s="17"/>
      <c r="B516" s="17"/>
      <c r="C516" s="250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>
      <c r="A517" s="17"/>
      <c r="B517" s="17"/>
      <c r="C517" s="250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>
      <c r="A518" s="17"/>
      <c r="B518" s="17"/>
      <c r="C518" s="250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>
      <c r="A519" s="17"/>
      <c r="B519" s="17"/>
      <c r="C519" s="250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>
      <c r="A520" s="17"/>
      <c r="B520" s="17"/>
      <c r="C520" s="250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>
      <c r="A521" s="17"/>
      <c r="B521" s="17"/>
      <c r="C521" s="250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>
      <c r="A522" s="17"/>
      <c r="B522" s="17"/>
      <c r="C522" s="250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>
      <c r="A523" s="17"/>
      <c r="B523" s="17"/>
      <c r="C523" s="250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>
      <c r="A524" s="17"/>
      <c r="B524" s="17"/>
      <c r="C524" s="250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>
      <c r="A525" s="17"/>
      <c r="B525" s="17"/>
      <c r="C525" s="250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>
      <c r="A526" s="17"/>
      <c r="B526" s="17"/>
      <c r="C526" s="250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>
      <c r="A527" s="17"/>
      <c r="B527" s="17"/>
      <c r="C527" s="250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>
      <c r="A528" s="17"/>
      <c r="B528" s="17"/>
      <c r="C528" s="250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>
      <c r="A529" s="17"/>
      <c r="B529" s="17"/>
      <c r="C529" s="250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>
      <c r="A530" s="17"/>
      <c r="B530" s="17"/>
      <c r="C530" s="250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>
      <c r="A531" s="17"/>
      <c r="B531" s="17"/>
      <c r="C531" s="250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>
      <c r="A532" s="17"/>
      <c r="B532" s="17"/>
      <c r="C532" s="250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>
      <c r="A533" s="17"/>
      <c r="B533" s="17"/>
      <c r="C533" s="250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>
      <c r="A534" s="17"/>
      <c r="B534" s="17"/>
      <c r="C534" s="250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>
      <c r="A535" s="17"/>
      <c r="B535" s="17"/>
      <c r="C535" s="250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>
      <c r="A536" s="17"/>
      <c r="B536" s="17"/>
      <c r="C536" s="250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>
      <c r="A537" s="17"/>
      <c r="B537" s="17"/>
      <c r="C537" s="250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>
      <c r="A538" s="17"/>
      <c r="B538" s="17"/>
      <c r="C538" s="250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>
      <c r="A539" s="17"/>
      <c r="B539" s="17"/>
      <c r="C539" s="250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>
      <c r="A540" s="17"/>
      <c r="B540" s="17"/>
      <c r="C540" s="250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>
      <c r="A541" s="17"/>
      <c r="B541" s="17"/>
      <c r="C541" s="250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>
      <c r="A542" s="17"/>
      <c r="B542" s="17"/>
      <c r="C542" s="250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>
      <c r="A543" s="17"/>
      <c r="B543" s="17"/>
      <c r="C543" s="250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>
      <c r="A544" s="17"/>
      <c r="B544" s="17"/>
      <c r="C544" s="250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>
      <c r="A545" s="17"/>
      <c r="B545" s="17"/>
      <c r="C545" s="250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>
      <c r="A546" s="17"/>
      <c r="B546" s="17"/>
      <c r="C546" s="250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>
      <c r="A547" s="17"/>
      <c r="B547" s="17"/>
      <c r="C547" s="250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>
      <c r="A548" s="17"/>
      <c r="B548" s="17"/>
      <c r="C548" s="250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>
      <c r="A549" s="17"/>
      <c r="B549" s="17"/>
      <c r="C549" s="250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>
      <c r="A550" s="17"/>
      <c r="B550" s="17"/>
      <c r="C550" s="250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>
      <c r="A551" s="17"/>
      <c r="B551" s="17"/>
      <c r="C551" s="250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>
      <c r="A552" s="17"/>
      <c r="B552" s="17"/>
      <c r="C552" s="250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>
      <c r="A553" s="17"/>
      <c r="B553" s="17"/>
      <c r="C553" s="250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>
      <c r="A554" s="17"/>
      <c r="B554" s="17"/>
      <c r="C554" s="250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>
      <c r="A555" s="17"/>
      <c r="B555" s="17"/>
      <c r="C555" s="250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>
      <c r="A556" s="17"/>
      <c r="B556" s="17"/>
      <c r="C556" s="250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>
      <c r="A557" s="17"/>
      <c r="B557" s="17"/>
      <c r="C557" s="250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>
      <c r="A558" s="17"/>
      <c r="B558" s="17"/>
      <c r="C558" s="250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>
      <c r="A559" s="17"/>
      <c r="B559" s="17"/>
      <c r="C559" s="250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>
      <c r="A560" s="17"/>
      <c r="B560" s="17"/>
      <c r="C560" s="250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>
      <c r="A561" s="17"/>
      <c r="B561" s="17"/>
      <c r="C561" s="250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>
      <c r="A562" s="17"/>
      <c r="B562" s="17"/>
      <c r="C562" s="250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>
      <c r="A563" s="17"/>
      <c r="B563" s="17"/>
      <c r="C563" s="250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>
      <c r="A564" s="17"/>
      <c r="B564" s="17"/>
      <c r="C564" s="250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>
      <c r="A565" s="17"/>
      <c r="B565" s="17"/>
      <c r="C565" s="250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>
      <c r="A566" s="17"/>
      <c r="B566" s="17"/>
      <c r="C566" s="250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>
      <c r="A567" s="17"/>
      <c r="B567" s="17"/>
      <c r="C567" s="250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>
      <c r="A568" s="17"/>
      <c r="B568" s="17"/>
      <c r="C568" s="250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>
      <c r="A569" s="17"/>
      <c r="B569" s="17"/>
      <c r="C569" s="250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>
      <c r="A570" s="17"/>
      <c r="B570" s="17"/>
      <c r="C570" s="250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>
      <c r="A571" s="17"/>
      <c r="B571" s="17"/>
      <c r="C571" s="250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>
      <c r="A572" s="17"/>
      <c r="B572" s="17"/>
      <c r="C572" s="250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>
      <c r="A573" s="17"/>
      <c r="B573" s="17"/>
      <c r="C573" s="250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>
      <c r="A574" s="17"/>
      <c r="B574" s="17"/>
      <c r="C574" s="250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>
      <c r="A575" s="17"/>
      <c r="B575" s="17"/>
      <c r="C575" s="250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>
      <c r="A576" s="17"/>
      <c r="B576" s="17"/>
      <c r="C576" s="250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>
      <c r="A577" s="17"/>
      <c r="B577" s="17"/>
      <c r="C577" s="250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>
      <c r="A578" s="17"/>
      <c r="B578" s="17"/>
      <c r="C578" s="250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>
      <c r="A579" s="17"/>
      <c r="B579" s="17"/>
      <c r="C579" s="250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>
      <c r="A580" s="17"/>
      <c r="B580" s="17"/>
      <c r="C580" s="250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>
      <c r="A581" s="17"/>
      <c r="B581" s="17"/>
      <c r="C581" s="250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>
      <c r="A582" s="17"/>
      <c r="B582" s="17"/>
      <c r="C582" s="250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>
      <c r="A583" s="17"/>
      <c r="B583" s="17"/>
      <c r="C583" s="250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>
      <c r="A584" s="17"/>
      <c r="B584" s="17"/>
      <c r="C584" s="250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>
      <c r="A585" s="17"/>
      <c r="B585" s="17"/>
      <c r="C585" s="250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>
      <c r="A586" s="17"/>
      <c r="B586" s="17"/>
      <c r="C586" s="250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>
      <c r="A587" s="17"/>
      <c r="B587" s="17"/>
      <c r="C587" s="250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>
      <c r="A588" s="17"/>
      <c r="B588" s="17"/>
      <c r="C588" s="250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>
      <c r="A589" s="17"/>
      <c r="B589" s="17"/>
      <c r="C589" s="250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>
      <c r="A590" s="17"/>
      <c r="B590" s="17"/>
      <c r="C590" s="250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>
      <c r="A591" s="17"/>
      <c r="B591" s="17"/>
      <c r="C591" s="250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>
      <c r="A592" s="17"/>
      <c r="B592" s="17"/>
      <c r="C592" s="250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>
      <c r="A593" s="17"/>
      <c r="B593" s="17"/>
      <c r="C593" s="250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>
      <c r="A594" s="17"/>
      <c r="B594" s="17"/>
      <c r="C594" s="250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>
      <c r="A595" s="17"/>
      <c r="B595" s="17"/>
      <c r="C595" s="250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>
      <c r="A596" s="17"/>
      <c r="B596" s="17"/>
      <c r="C596" s="250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>
      <c r="A597" s="17"/>
      <c r="B597" s="17"/>
      <c r="C597" s="250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>
      <c r="A598" s="17"/>
      <c r="B598" s="17"/>
      <c r="C598" s="250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>
      <c r="A599" s="17"/>
      <c r="B599" s="17"/>
      <c r="C599" s="250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>
      <c r="A600" s="17"/>
      <c r="B600" s="17"/>
      <c r="C600" s="250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>
      <c r="A601" s="17"/>
      <c r="B601" s="17"/>
      <c r="C601" s="250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>
      <c r="A602" s="17"/>
      <c r="B602" s="17"/>
      <c r="C602" s="250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>
      <c r="A603" s="17"/>
      <c r="B603" s="17"/>
      <c r="C603" s="250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>
      <c r="A604" s="17"/>
      <c r="B604" s="17"/>
      <c r="C604" s="250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>
      <c r="A605" s="17"/>
      <c r="B605" s="17"/>
      <c r="C605" s="250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>
      <c r="A606" s="17"/>
      <c r="B606" s="17"/>
      <c r="C606" s="250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>
      <c r="A607" s="17"/>
      <c r="B607" s="17"/>
      <c r="C607" s="250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>
      <c r="A608" s="17"/>
      <c r="B608" s="17"/>
      <c r="C608" s="250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>
      <c r="A609" s="17"/>
      <c r="B609" s="17"/>
      <c r="C609" s="250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>
      <c r="A610" s="17"/>
      <c r="B610" s="17"/>
      <c r="C610" s="250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>
      <c r="A611" s="17"/>
      <c r="B611" s="17"/>
      <c r="C611" s="250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>
      <c r="A612" s="17"/>
      <c r="B612" s="17"/>
      <c r="C612" s="250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>
      <c r="A613" s="17"/>
      <c r="B613" s="17"/>
      <c r="C613" s="250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>
      <c r="A614" s="17"/>
      <c r="B614" s="17"/>
      <c r="C614" s="250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>
      <c r="A615" s="17"/>
      <c r="B615" s="17"/>
      <c r="C615" s="250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>
      <c r="A616" s="17"/>
      <c r="B616" s="17"/>
      <c r="C616" s="250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>
      <c r="A617" s="17"/>
      <c r="B617" s="17"/>
      <c r="C617" s="250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>
      <c r="A618" s="17"/>
      <c r="B618" s="17"/>
      <c r="C618" s="250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>
      <c r="A619" s="17"/>
      <c r="B619" s="17"/>
      <c r="C619" s="250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>
      <c r="A620" s="17"/>
      <c r="B620" s="17"/>
      <c r="C620" s="250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>
      <c r="A621" s="17"/>
      <c r="B621" s="17"/>
      <c r="C621" s="250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>
      <c r="A622" s="17"/>
      <c r="B622" s="17"/>
      <c r="C622" s="250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>
      <c r="A623" s="17"/>
      <c r="B623" s="17"/>
      <c r="C623" s="250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>
      <c r="A624" s="17"/>
      <c r="B624" s="17"/>
      <c r="C624" s="250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>
      <c r="A625" s="17"/>
      <c r="B625" s="17"/>
      <c r="C625" s="250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>
      <c r="A626" s="17"/>
      <c r="B626" s="17"/>
      <c r="C626" s="250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>
      <c r="A627" s="17"/>
      <c r="B627" s="17"/>
      <c r="C627" s="250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>
      <c r="A628" s="17"/>
      <c r="B628" s="17"/>
      <c r="C628" s="250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>
      <c r="A629" s="17"/>
      <c r="B629" s="17"/>
      <c r="C629" s="250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>
      <c r="A630" s="17"/>
      <c r="B630" s="17"/>
      <c r="C630" s="250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>
      <c r="A631" s="17"/>
      <c r="B631" s="17"/>
      <c r="C631" s="250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>
      <c r="A632" s="17"/>
      <c r="B632" s="17"/>
      <c r="C632" s="250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>
      <c r="A633" s="17"/>
      <c r="B633" s="17"/>
      <c r="C633" s="250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>
      <c r="A634" s="17"/>
      <c r="B634" s="17"/>
      <c r="C634" s="250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>
      <c r="A635" s="17"/>
      <c r="B635" s="17"/>
      <c r="C635" s="250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>
      <c r="A636" s="17"/>
      <c r="B636" s="17"/>
      <c r="C636" s="250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>
      <c r="A637" s="17"/>
      <c r="B637" s="17"/>
      <c r="C637" s="250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>
      <c r="A638" s="17"/>
      <c r="B638" s="17"/>
      <c r="C638" s="250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>
      <c r="A639" s="17"/>
      <c r="B639" s="17"/>
      <c r="C639" s="250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>
      <c r="A640" s="17"/>
      <c r="B640" s="17"/>
      <c r="C640" s="250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>
      <c r="A641" s="17"/>
      <c r="B641" s="17"/>
      <c r="C641" s="250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>
      <c r="A642" s="17"/>
      <c r="B642" s="17"/>
      <c r="C642" s="250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>
      <c r="A643" s="17"/>
      <c r="B643" s="17"/>
      <c r="C643" s="250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>
      <c r="A644" s="17"/>
      <c r="B644" s="17"/>
      <c r="C644" s="250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>
      <c r="A645" s="17"/>
      <c r="B645" s="17"/>
      <c r="C645" s="250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>
      <c r="A646" s="17"/>
      <c r="B646" s="17"/>
      <c r="C646" s="250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>
      <c r="A647" s="17"/>
      <c r="B647" s="17"/>
      <c r="C647" s="250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>
      <c r="A648" s="17"/>
      <c r="B648" s="17"/>
      <c r="C648" s="250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>
      <c r="A649" s="17"/>
      <c r="B649" s="17"/>
      <c r="C649" s="250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>
      <c r="A650" s="17"/>
      <c r="B650" s="17"/>
      <c r="C650" s="250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>
      <c r="A651" s="17"/>
      <c r="B651" s="17"/>
      <c r="C651" s="250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>
      <c r="A652" s="17"/>
      <c r="B652" s="17"/>
      <c r="C652" s="250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>
      <c r="A653" s="17"/>
      <c r="B653" s="17"/>
      <c r="C653" s="250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>
      <c r="A654" s="17"/>
      <c r="B654" s="17"/>
      <c r="C654" s="250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>
      <c r="A655" s="17"/>
      <c r="B655" s="17"/>
      <c r="C655" s="250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>
      <c r="A656" s="17"/>
      <c r="B656" s="17"/>
      <c r="C656" s="250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>
      <c r="A657" s="17"/>
      <c r="B657" s="17"/>
      <c r="C657" s="250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>
      <c r="A658" s="17"/>
      <c r="B658" s="17"/>
      <c r="C658" s="250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>
      <c r="A659" s="17"/>
      <c r="B659" s="17"/>
      <c r="C659" s="250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>
      <c r="A660" s="17"/>
      <c r="B660" s="17"/>
      <c r="C660" s="250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>
      <c r="A661" s="17"/>
      <c r="B661" s="17"/>
      <c r="C661" s="250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>
      <c r="A662" s="17"/>
      <c r="B662" s="17"/>
      <c r="C662" s="250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>
      <c r="A663" s="17"/>
      <c r="B663" s="17"/>
      <c r="C663" s="250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>
      <c r="A664" s="17"/>
      <c r="B664" s="17"/>
      <c r="C664" s="250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>
      <c r="A665" s="17"/>
      <c r="B665" s="17"/>
      <c r="C665" s="250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>
      <c r="A666" s="17"/>
      <c r="B666" s="17"/>
      <c r="C666" s="250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>
      <c r="A667" s="17"/>
      <c r="B667" s="17"/>
      <c r="C667" s="250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>
      <c r="A668" s="17"/>
      <c r="B668" s="17"/>
      <c r="C668" s="250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>
      <c r="A669" s="17"/>
      <c r="B669" s="17"/>
      <c r="C669" s="250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>
      <c r="A670" s="17"/>
      <c r="B670" s="17"/>
      <c r="C670" s="250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>
      <c r="A671" s="17"/>
      <c r="B671" s="17"/>
      <c r="C671" s="250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>
      <c r="A672" s="17"/>
      <c r="B672" s="17"/>
      <c r="C672" s="250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>
      <c r="A673" s="17"/>
      <c r="B673" s="17"/>
      <c r="C673" s="250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>
      <c r="A674" s="17"/>
      <c r="B674" s="17"/>
      <c r="C674" s="250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>
      <c r="A675" s="17"/>
      <c r="B675" s="17"/>
      <c r="C675" s="250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>
      <c r="A676" s="17"/>
      <c r="B676" s="17"/>
      <c r="C676" s="250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>
      <c r="A677" s="17"/>
      <c r="B677" s="17"/>
      <c r="C677" s="250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>
      <c r="A678" s="17"/>
      <c r="B678" s="17"/>
      <c r="C678" s="250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>
      <c r="A679" s="17"/>
      <c r="B679" s="17"/>
      <c r="C679" s="250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>
      <c r="A680" s="17"/>
      <c r="B680" s="17"/>
      <c r="C680" s="250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>
      <c r="A681" s="17"/>
      <c r="B681" s="17"/>
      <c r="C681" s="250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>
      <c r="A682" s="17"/>
      <c r="B682" s="17"/>
      <c r="C682" s="250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>
      <c r="A683" s="17"/>
      <c r="B683" s="17"/>
      <c r="C683" s="250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>
      <c r="A684" s="17"/>
      <c r="B684" s="17"/>
      <c r="C684" s="250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>
      <c r="A685" s="17"/>
      <c r="B685" s="17"/>
      <c r="C685" s="250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>
      <c r="A686" s="17"/>
      <c r="B686" s="17"/>
      <c r="C686" s="250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>
      <c r="A687" s="17"/>
      <c r="B687" s="17"/>
      <c r="C687" s="250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>
      <c r="A688" s="17"/>
      <c r="B688" s="17"/>
      <c r="C688" s="250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>
      <c r="A689" s="17"/>
      <c r="B689" s="17"/>
      <c r="C689" s="250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>
      <c r="A690" s="17"/>
      <c r="B690" s="17"/>
      <c r="C690" s="250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>
      <c r="A691" s="17"/>
      <c r="B691" s="17"/>
      <c r="C691" s="250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>
      <c r="A692" s="17"/>
      <c r="B692" s="17"/>
      <c r="C692" s="250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>
      <c r="A693" s="17"/>
      <c r="B693" s="17"/>
      <c r="C693" s="250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>
      <c r="A694" s="17"/>
      <c r="B694" s="17"/>
      <c r="C694" s="250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>
      <c r="A695" s="17"/>
      <c r="B695" s="17"/>
      <c r="C695" s="250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>
      <c r="A696" s="17"/>
      <c r="B696" s="17"/>
      <c r="C696" s="250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>
      <c r="A697" s="17"/>
      <c r="B697" s="17"/>
      <c r="C697" s="250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>
      <c r="A698" s="17"/>
      <c r="B698" s="17"/>
      <c r="C698" s="250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>
      <c r="A699" s="17"/>
      <c r="B699" s="17"/>
      <c r="C699" s="250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>
      <c r="A700" s="17"/>
      <c r="B700" s="17"/>
      <c r="C700" s="250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>
      <c r="A701" s="17"/>
      <c r="B701" s="17"/>
      <c r="C701" s="250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>
      <c r="A702" s="17"/>
      <c r="B702" s="17"/>
      <c r="C702" s="250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>
      <c r="A703" s="17"/>
      <c r="B703" s="17"/>
      <c r="C703" s="250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>
      <c r="A704" s="17"/>
      <c r="B704" s="17"/>
      <c r="C704" s="250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>
      <c r="A705" s="17"/>
      <c r="B705" s="17"/>
      <c r="C705" s="250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>
      <c r="A706" s="17"/>
      <c r="B706" s="17"/>
      <c r="C706" s="250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>
      <c r="A707" s="17"/>
      <c r="B707" s="17"/>
      <c r="C707" s="250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>
      <c r="A708" s="17"/>
      <c r="B708" s="17"/>
      <c r="C708" s="250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>
      <c r="A709" s="17"/>
      <c r="B709" s="17"/>
      <c r="C709" s="250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>
      <c r="A710" s="17"/>
      <c r="B710" s="17"/>
      <c r="C710" s="250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>
      <c r="A711" s="17"/>
      <c r="B711" s="17"/>
      <c r="C711" s="250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>
      <c r="A712" s="17"/>
      <c r="B712" s="17"/>
      <c r="C712" s="250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>
      <c r="A713" s="17"/>
      <c r="B713" s="17"/>
      <c r="C713" s="250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>
      <c r="A714" s="17"/>
      <c r="B714" s="17"/>
      <c r="C714" s="250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>
      <c r="A715" s="17"/>
      <c r="B715" s="17"/>
      <c r="C715" s="250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>
      <c r="A716" s="17"/>
      <c r="B716" s="17"/>
      <c r="C716" s="250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>
      <c r="A717" s="17"/>
      <c r="B717" s="17"/>
      <c r="C717" s="250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>
      <c r="A718" s="17"/>
      <c r="B718" s="17"/>
      <c r="C718" s="250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>
      <c r="A719" s="17"/>
      <c r="B719" s="17"/>
      <c r="C719" s="250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>
      <c r="A720" s="17"/>
      <c r="B720" s="17"/>
      <c r="C720" s="250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>
      <c r="A721" s="17"/>
      <c r="B721" s="17"/>
      <c r="C721" s="250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>
      <c r="A722" s="17"/>
      <c r="B722" s="17"/>
      <c r="C722" s="250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>
      <c r="A723" s="17"/>
      <c r="B723" s="17"/>
      <c r="C723" s="250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>
      <c r="A724" s="17"/>
      <c r="B724" s="17"/>
      <c r="C724" s="250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>
      <c r="A725" s="17"/>
      <c r="B725" s="17"/>
      <c r="C725" s="250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>
      <c r="A726" s="17"/>
      <c r="B726" s="17"/>
      <c r="C726" s="250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>
      <c r="A727" s="17"/>
      <c r="B727" s="17"/>
      <c r="C727" s="250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>
      <c r="A728" s="17"/>
      <c r="B728" s="17"/>
      <c r="C728" s="250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>
      <c r="A729" s="17"/>
      <c r="B729" s="17"/>
      <c r="C729" s="250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>
      <c r="A730" s="17"/>
      <c r="B730" s="17"/>
      <c r="C730" s="250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>
      <c r="A731" s="17"/>
      <c r="B731" s="17"/>
      <c r="C731" s="250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>
      <c r="A732" s="17"/>
      <c r="B732" s="17"/>
      <c r="C732" s="250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>
      <c r="A733" s="17"/>
      <c r="B733" s="17"/>
      <c r="C733" s="250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>
      <c r="A734" s="17"/>
      <c r="B734" s="17"/>
      <c r="C734" s="250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>
      <c r="A735" s="17"/>
      <c r="B735" s="17"/>
      <c r="C735" s="250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>
      <c r="A736" s="17"/>
      <c r="B736" s="17"/>
      <c r="C736" s="250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>
      <c r="A737" s="17"/>
      <c r="B737" s="17"/>
      <c r="C737" s="250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>
      <c r="A738" s="17"/>
      <c r="B738" s="17"/>
      <c r="C738" s="250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>
      <c r="A739" s="17"/>
      <c r="B739" s="17"/>
      <c r="C739" s="250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>
      <c r="A740" s="17"/>
      <c r="B740" s="17"/>
      <c r="C740" s="250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>
      <c r="A741" s="17"/>
      <c r="B741" s="17"/>
      <c r="C741" s="250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>
      <c r="A742" s="17"/>
      <c r="B742" s="17"/>
      <c r="C742" s="250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>
      <c r="A743" s="17"/>
      <c r="B743" s="17"/>
      <c r="C743" s="250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>
      <c r="A744" s="17"/>
      <c r="B744" s="17"/>
      <c r="C744" s="250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>
      <c r="A745" s="17"/>
      <c r="B745" s="17"/>
      <c r="C745" s="250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>
      <c r="A746" s="17"/>
      <c r="B746" s="17"/>
      <c r="C746" s="250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>
      <c r="A747" s="17"/>
      <c r="B747" s="17"/>
      <c r="C747" s="250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>
      <c r="A748" s="17"/>
      <c r="B748" s="17"/>
      <c r="C748" s="250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>
      <c r="A749" s="17"/>
      <c r="B749" s="17"/>
      <c r="C749" s="250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>
      <c r="A750" s="17"/>
      <c r="B750" s="17"/>
      <c r="C750" s="250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>
      <c r="A751" s="17"/>
      <c r="B751" s="17"/>
      <c r="C751" s="250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>
      <c r="A752" s="17"/>
      <c r="B752" s="17"/>
      <c r="C752" s="250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>
      <c r="A753" s="17"/>
      <c r="B753" s="17"/>
      <c r="C753" s="250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>
      <c r="A754" s="17"/>
      <c r="B754" s="17"/>
      <c r="C754" s="250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>
      <c r="A755" s="17"/>
      <c r="B755" s="17"/>
      <c r="C755" s="250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>
      <c r="A756" s="17"/>
      <c r="B756" s="17"/>
      <c r="C756" s="250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>
      <c r="A757" s="17"/>
      <c r="B757" s="17"/>
      <c r="C757" s="250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>
      <c r="A758" s="17"/>
      <c r="B758" s="17"/>
      <c r="C758" s="250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>
      <c r="A759" s="17"/>
      <c r="B759" s="17"/>
      <c r="C759" s="250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>
      <c r="A760" s="17"/>
      <c r="B760" s="17"/>
      <c r="C760" s="250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>
      <c r="A761" s="17"/>
      <c r="B761" s="17"/>
      <c r="C761" s="250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>
      <c r="A762" s="17"/>
      <c r="B762" s="17"/>
      <c r="C762" s="250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>
      <c r="A763" s="17"/>
      <c r="B763" s="17"/>
      <c r="C763" s="250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>
      <c r="A764" s="17"/>
      <c r="B764" s="17"/>
      <c r="C764" s="250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>
      <c r="A765" s="17"/>
      <c r="B765" s="17"/>
      <c r="C765" s="250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>
      <c r="A766" s="17"/>
      <c r="B766" s="17"/>
      <c r="C766" s="250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>
      <c r="A767" s="17"/>
      <c r="B767" s="17"/>
      <c r="C767" s="250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>
      <c r="A768" s="17"/>
      <c r="B768" s="17"/>
      <c r="C768" s="250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>
      <c r="A769" s="17"/>
      <c r="B769" s="17"/>
      <c r="C769" s="250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>
      <c r="A770" s="17"/>
      <c r="B770" s="17"/>
      <c r="C770" s="250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>
      <c r="A771" s="17"/>
      <c r="B771" s="17"/>
      <c r="C771" s="250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>
      <c r="A772" s="17"/>
      <c r="B772" s="17"/>
      <c r="C772" s="250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>
      <c r="A773" s="17"/>
      <c r="B773" s="17"/>
      <c r="C773" s="250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>
      <c r="A774" s="17"/>
      <c r="B774" s="17"/>
      <c r="C774" s="250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>
      <c r="A775" s="17"/>
      <c r="B775" s="17"/>
      <c r="C775" s="250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>
      <c r="A776" s="17"/>
      <c r="B776" s="17"/>
      <c r="C776" s="250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>
      <c r="A777" s="17"/>
      <c r="B777" s="17"/>
      <c r="C777" s="250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>
      <c r="A778" s="17"/>
      <c r="B778" s="17"/>
      <c r="C778" s="250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>
      <c r="A779" s="17"/>
      <c r="B779" s="17"/>
      <c r="C779" s="250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>
      <c r="A780" s="17"/>
      <c r="B780" s="17"/>
      <c r="C780" s="250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>
      <c r="A781" s="17"/>
      <c r="B781" s="17"/>
      <c r="C781" s="250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>
      <c r="A782" s="17"/>
      <c r="B782" s="17"/>
      <c r="C782" s="250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>
      <c r="A783" s="17"/>
      <c r="B783" s="17"/>
      <c r="C783" s="250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>
      <c r="A784" s="17"/>
      <c r="B784" s="17"/>
      <c r="C784" s="250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>
      <c r="A785" s="17"/>
      <c r="B785" s="17"/>
      <c r="C785" s="250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>
      <c r="A786" s="17"/>
      <c r="B786" s="17"/>
      <c r="C786" s="250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>
      <c r="A787" s="17"/>
      <c r="B787" s="17"/>
      <c r="C787" s="250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>
      <c r="A788" s="17"/>
      <c r="B788" s="17"/>
      <c r="C788" s="250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>
      <c r="A789" s="17"/>
      <c r="B789" s="17"/>
      <c r="C789" s="250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>
      <c r="A790" s="17"/>
      <c r="B790" s="17"/>
      <c r="C790" s="250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>
      <c r="A791" s="17"/>
      <c r="B791" s="17"/>
      <c r="C791" s="250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>
      <c r="A792" s="17"/>
      <c r="B792" s="17"/>
      <c r="C792" s="250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>
      <c r="A793" s="17"/>
      <c r="B793" s="17"/>
      <c r="C793" s="250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>
      <c r="A794" s="17"/>
      <c r="B794" s="17"/>
      <c r="C794" s="250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>
      <c r="A795" s="17"/>
      <c r="B795" s="17"/>
      <c r="C795" s="250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>
      <c r="A796" s="17"/>
      <c r="B796" s="17"/>
      <c r="C796" s="250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>
      <c r="A797" s="17"/>
      <c r="B797" s="17"/>
      <c r="C797" s="250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>
      <c r="A798" s="17"/>
      <c r="B798" s="17"/>
      <c r="C798" s="250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>
      <c r="A799" s="17"/>
      <c r="B799" s="17"/>
      <c r="C799" s="250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>
      <c r="A800" s="17"/>
      <c r="B800" s="17"/>
      <c r="C800" s="250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>
      <c r="A801" s="17"/>
      <c r="B801" s="17"/>
      <c r="C801" s="250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>
      <c r="A802" s="17"/>
      <c r="B802" s="17"/>
      <c r="C802" s="250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>
      <c r="A803" s="17"/>
      <c r="B803" s="17"/>
      <c r="C803" s="250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>
      <c r="A804" s="17"/>
      <c r="B804" s="17"/>
      <c r="C804" s="250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>
      <c r="A805" s="17"/>
      <c r="B805" s="17"/>
      <c r="C805" s="250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>
      <c r="A806" s="17"/>
      <c r="B806" s="17"/>
      <c r="C806" s="250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>
      <c r="A807" s="17"/>
      <c r="B807" s="17"/>
      <c r="C807" s="250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>
      <c r="A808" s="17"/>
      <c r="B808" s="17"/>
      <c r="C808" s="250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>
      <c r="A809" s="17"/>
      <c r="B809" s="17"/>
      <c r="C809" s="250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>
      <c r="A810" s="17"/>
      <c r="B810" s="17"/>
      <c r="C810" s="250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>
      <c r="A811" s="17"/>
      <c r="B811" s="17"/>
      <c r="C811" s="250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>
      <c r="A812" s="17"/>
      <c r="B812" s="17"/>
      <c r="C812" s="250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>
      <c r="A813" s="17"/>
      <c r="B813" s="17"/>
      <c r="C813" s="250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>
      <c r="A814" s="17"/>
      <c r="B814" s="17"/>
      <c r="C814" s="250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>
      <c r="A815" s="17"/>
      <c r="B815" s="17"/>
      <c r="C815" s="250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>
      <c r="A816" s="17"/>
      <c r="B816" s="17"/>
      <c r="C816" s="250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>
      <c r="A817" s="17"/>
      <c r="B817" s="17"/>
      <c r="C817" s="250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>
      <c r="A818" s="17"/>
      <c r="B818" s="17"/>
      <c r="C818" s="250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>
      <c r="A819" s="17"/>
      <c r="B819" s="17"/>
      <c r="C819" s="250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>
      <c r="A820" s="17"/>
      <c r="B820" s="17"/>
      <c r="C820" s="250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>
      <c r="A821" s="17"/>
      <c r="B821" s="17"/>
      <c r="C821" s="250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>
      <c r="A822" s="17"/>
      <c r="B822" s="17"/>
      <c r="C822" s="250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>
      <c r="A823" s="17"/>
      <c r="B823" s="17"/>
      <c r="C823" s="250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>
      <c r="A824" s="17"/>
      <c r="B824" s="17"/>
      <c r="C824" s="250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>
      <c r="A825" s="17"/>
      <c r="B825" s="17"/>
      <c r="C825" s="250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>
      <c r="A826" s="17"/>
      <c r="B826" s="17"/>
      <c r="C826" s="250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>
      <c r="A827" s="17"/>
      <c r="B827" s="17"/>
      <c r="C827" s="250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>
      <c r="A828" s="17"/>
      <c r="B828" s="17"/>
      <c r="C828" s="250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>
      <c r="A829" s="17"/>
      <c r="B829" s="17"/>
      <c r="C829" s="250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>
      <c r="A830" s="17"/>
      <c r="B830" s="17"/>
      <c r="C830" s="250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>
      <c r="A831" s="17"/>
      <c r="B831" s="17"/>
      <c r="C831" s="250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>
      <c r="A832" s="17"/>
      <c r="B832" s="17"/>
      <c r="C832" s="250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>
      <c r="A833" s="17"/>
      <c r="B833" s="17"/>
      <c r="C833" s="250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>
      <c r="A834" s="17"/>
      <c r="B834" s="17"/>
      <c r="C834" s="250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>
      <c r="A835" s="17"/>
      <c r="B835" s="17"/>
      <c r="C835" s="250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>
      <c r="A836" s="17"/>
      <c r="B836" s="17"/>
      <c r="C836" s="250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>
      <c r="A837" s="17"/>
      <c r="B837" s="17"/>
      <c r="C837" s="250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>
      <c r="A838" s="17"/>
      <c r="B838" s="17"/>
      <c r="C838" s="250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>
      <c r="A839" s="17"/>
      <c r="B839" s="17"/>
      <c r="C839" s="250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>
      <c r="A840" s="17"/>
      <c r="B840" s="17"/>
      <c r="C840" s="250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>
      <c r="A841" s="17"/>
      <c r="B841" s="17"/>
      <c r="C841" s="250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>
      <c r="A842" s="17"/>
      <c r="B842" s="17"/>
      <c r="C842" s="250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>
      <c r="A843" s="17"/>
      <c r="B843" s="17"/>
      <c r="C843" s="250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>
      <c r="A844" s="17"/>
      <c r="B844" s="17"/>
      <c r="C844" s="250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>
      <c r="A845" s="17"/>
      <c r="B845" s="17"/>
      <c r="C845" s="250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>
      <c r="A846" s="17"/>
      <c r="B846" s="17"/>
      <c r="C846" s="250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>
      <c r="A847" s="17"/>
      <c r="B847" s="17"/>
      <c r="C847" s="250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>
      <c r="A848" s="17"/>
      <c r="B848" s="17"/>
      <c r="C848" s="250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>
      <c r="A849" s="17"/>
      <c r="B849" s="17"/>
      <c r="C849" s="250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>
      <c r="A850" s="17"/>
      <c r="B850" s="17"/>
      <c r="C850" s="250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>
      <c r="A851" s="17"/>
      <c r="B851" s="17"/>
      <c r="C851" s="250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>
      <c r="A852" s="17"/>
      <c r="B852" s="17"/>
      <c r="C852" s="250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>
      <c r="A853" s="17"/>
      <c r="B853" s="17"/>
      <c r="C853" s="250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>
      <c r="A854" s="17"/>
      <c r="B854" s="17"/>
      <c r="C854" s="250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>
      <c r="A855" s="17"/>
      <c r="B855" s="17"/>
      <c r="C855" s="250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>
      <c r="A856" s="17"/>
      <c r="B856" s="17"/>
      <c r="C856" s="250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>
      <c r="A857" s="17"/>
      <c r="B857" s="17"/>
      <c r="C857" s="250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>
      <c r="A858" s="17"/>
      <c r="B858" s="17"/>
      <c r="C858" s="250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>
      <c r="A859" s="17"/>
      <c r="B859" s="17"/>
      <c r="C859" s="250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>
      <c r="A860" s="17"/>
      <c r="B860" s="17"/>
      <c r="C860" s="250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>
      <c r="A861" s="17"/>
      <c r="B861" s="17"/>
      <c r="C861" s="250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>
      <c r="A862" s="17"/>
      <c r="B862" s="17"/>
      <c r="C862" s="250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>
      <c r="A863" s="17"/>
      <c r="B863" s="17"/>
      <c r="C863" s="250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>
      <c r="A864" s="17"/>
      <c r="B864" s="17"/>
      <c r="C864" s="250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>
      <c r="A865" s="17"/>
      <c r="B865" s="17"/>
      <c r="C865" s="250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>
      <c r="A866" s="17"/>
      <c r="B866" s="17"/>
      <c r="C866" s="250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>
      <c r="A867" s="17"/>
      <c r="B867" s="17"/>
      <c r="C867" s="250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>
      <c r="A868" s="17"/>
      <c r="B868" s="17"/>
      <c r="C868" s="250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>
      <c r="A869" s="17"/>
      <c r="B869" s="17"/>
      <c r="C869" s="250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>
      <c r="A870" s="17"/>
      <c r="B870" s="17"/>
      <c r="C870" s="250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>
      <c r="A871" s="17"/>
      <c r="B871" s="17"/>
      <c r="C871" s="250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>
      <c r="A872" s="17"/>
      <c r="B872" s="17"/>
      <c r="C872" s="250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>
      <c r="A873" s="17"/>
      <c r="B873" s="17"/>
      <c r="C873" s="250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>
      <c r="A874" s="17"/>
      <c r="B874" s="17"/>
      <c r="C874" s="250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>
      <c r="A875" s="17"/>
      <c r="B875" s="17"/>
      <c r="C875" s="250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>
      <c r="A876" s="17"/>
      <c r="B876" s="17"/>
      <c r="C876" s="250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>
      <c r="A877" s="17"/>
      <c r="B877" s="17"/>
      <c r="C877" s="250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>
      <c r="A878" s="17"/>
      <c r="B878" s="17"/>
      <c r="C878" s="250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>
      <c r="A879" s="17"/>
      <c r="B879" s="17"/>
      <c r="C879" s="250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>
      <c r="A880" s="17"/>
      <c r="B880" s="17"/>
      <c r="C880" s="250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>
      <c r="A881" s="17"/>
      <c r="B881" s="17"/>
      <c r="C881" s="250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>
      <c r="A882" s="17"/>
      <c r="B882" s="17"/>
      <c r="C882" s="250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>
      <c r="A883" s="17"/>
      <c r="B883" s="17"/>
      <c r="C883" s="250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>
      <c r="A884" s="17"/>
      <c r="B884" s="17"/>
      <c r="C884" s="250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>
      <c r="A885" s="17"/>
      <c r="B885" s="17"/>
      <c r="C885" s="250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>
      <c r="A886" s="17"/>
      <c r="B886" s="17"/>
      <c r="C886" s="250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>
      <c r="A887" s="17"/>
      <c r="B887" s="17"/>
      <c r="C887" s="250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>
      <c r="A888" s="17"/>
      <c r="B888" s="17"/>
      <c r="C888" s="250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>
      <c r="A889" s="17"/>
      <c r="B889" s="17"/>
      <c r="C889" s="250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>
      <c r="A890" s="17"/>
      <c r="B890" s="17"/>
      <c r="C890" s="250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>
      <c r="A891" s="17"/>
      <c r="B891" s="17"/>
      <c r="C891" s="250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>
      <c r="A892" s="17"/>
      <c r="B892" s="17"/>
      <c r="C892" s="250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>
      <c r="A893" s="17"/>
      <c r="B893" s="17"/>
      <c r="C893" s="250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>
      <c r="A894" s="17"/>
      <c r="B894" s="17"/>
      <c r="C894" s="250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>
      <c r="A895" s="17"/>
      <c r="B895" s="17"/>
      <c r="C895" s="250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>
      <c r="A896" s="17"/>
      <c r="B896" s="17"/>
      <c r="C896" s="250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>
      <c r="A897" s="17"/>
      <c r="B897" s="17"/>
      <c r="C897" s="250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>
      <c r="A898" s="17"/>
      <c r="B898" s="17"/>
      <c r="C898" s="250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>
      <c r="A899" s="17"/>
      <c r="B899" s="17"/>
      <c r="C899" s="250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>
      <c r="A900" s="17"/>
      <c r="B900" s="17"/>
      <c r="C900" s="250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>
      <c r="A901" s="17"/>
      <c r="B901" s="17"/>
      <c r="C901" s="250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>
      <c r="A902" s="17"/>
      <c r="B902" s="17"/>
      <c r="C902" s="250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>
      <c r="A903" s="17"/>
      <c r="B903" s="17"/>
      <c r="C903" s="250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>
      <c r="A904" s="17"/>
      <c r="B904" s="17"/>
      <c r="C904" s="250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>
      <c r="A905" s="17"/>
      <c r="B905" s="17"/>
      <c r="C905" s="250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>
      <c r="A906" s="17"/>
      <c r="B906" s="17"/>
      <c r="C906" s="250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>
      <c r="A907" s="17"/>
      <c r="B907" s="17"/>
      <c r="C907" s="250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>
      <c r="A908" s="17"/>
      <c r="B908" s="17"/>
      <c r="C908" s="250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>
      <c r="A909" s="17"/>
      <c r="B909" s="17"/>
      <c r="C909" s="250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>
      <c r="A910" s="17"/>
      <c r="B910" s="17"/>
      <c r="C910" s="250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>
      <c r="A911" s="17"/>
      <c r="B911" s="17"/>
      <c r="C911" s="250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>
      <c r="A912" s="17"/>
      <c r="B912" s="17"/>
      <c r="C912" s="250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>
      <c r="A913" s="17"/>
      <c r="B913" s="17"/>
      <c r="C913" s="250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>
      <c r="A914" s="17"/>
      <c r="B914" s="17"/>
      <c r="C914" s="250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>
      <c r="A915" s="17"/>
      <c r="B915" s="17"/>
      <c r="C915" s="250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>
      <c r="A916" s="17"/>
      <c r="B916" s="17"/>
      <c r="C916" s="250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>
      <c r="A917" s="17"/>
      <c r="B917" s="17"/>
      <c r="C917" s="250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>
      <c r="A918" s="17"/>
      <c r="B918" s="17"/>
      <c r="C918" s="250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>
      <c r="A919" s="17"/>
      <c r="B919" s="17"/>
      <c r="C919" s="250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>
      <c r="A920" s="17"/>
      <c r="B920" s="17"/>
      <c r="C920" s="250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>
      <c r="A921" s="17"/>
      <c r="B921" s="17"/>
      <c r="C921" s="250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>
      <c r="A922" s="17"/>
      <c r="B922" s="17"/>
      <c r="C922" s="250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>
      <c r="A923" s="17"/>
      <c r="B923" s="17"/>
      <c r="C923" s="250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>
      <c r="A924" s="17"/>
      <c r="B924" s="17"/>
      <c r="C924" s="250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>
      <c r="A925" s="17"/>
      <c r="B925" s="17"/>
      <c r="C925" s="250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>
      <c r="A926" s="17"/>
      <c r="B926" s="17"/>
      <c r="C926" s="250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>
      <c r="A927" s="17"/>
      <c r="B927" s="17"/>
      <c r="C927" s="250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>
      <c r="A928" s="17"/>
      <c r="B928" s="17"/>
      <c r="C928" s="250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>
      <c r="A929" s="17"/>
      <c r="B929" s="17"/>
      <c r="C929" s="250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>
      <c r="A930" s="17"/>
      <c r="B930" s="17"/>
      <c r="C930" s="250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>
      <c r="A931" s="17"/>
      <c r="B931" s="17"/>
      <c r="C931" s="250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>
      <c r="A932" s="17"/>
      <c r="B932" s="17"/>
      <c r="C932" s="250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>
      <c r="A933" s="17"/>
      <c r="B933" s="17"/>
      <c r="C933" s="250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>
      <c r="A934" s="17"/>
      <c r="B934" s="17"/>
      <c r="C934" s="250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</sheetData>
  <hyperlinks>
    <hyperlink r:id="rId4" ref="C17"/>
    <hyperlink r:id="rId5" ref="C24"/>
    <hyperlink r:id="rId6" ref="C26"/>
    <hyperlink r:id="rId7" ref="C28"/>
    <hyperlink r:id="rId8" ref="C49"/>
    <hyperlink r:id="rId9" ref="C59"/>
    <hyperlink r:id="rId10" ref="C65"/>
    <hyperlink r:id="rId11" ref="C72"/>
    <hyperlink r:id="rId12" ref="C97"/>
    <hyperlink r:id="rId13" ref="C103"/>
    <hyperlink r:id="rId14" ref="C115"/>
    <hyperlink r:id="rId15" ref="C146"/>
    <hyperlink r:id="rId16" ref="C148"/>
    <hyperlink r:id="rId17" ref="C162"/>
    <hyperlink r:id="rId18" ref="C163"/>
    <hyperlink r:id="rId19" ref="C166"/>
  </hyperlinks>
  <drawing r:id="rId20"/>
  <legacy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 outlineLevelRow="1"/>
  <cols>
    <col customWidth="1" min="1" max="1" width="13.25"/>
    <col customWidth="1" min="2" max="2" width="17.88"/>
    <col customWidth="1" min="3" max="3" width="54.38"/>
    <col customWidth="1" min="5" max="5" width="40.5"/>
    <col customWidth="1" min="6" max="6" width="26.13"/>
  </cols>
  <sheetData>
    <row r="1">
      <c r="A1" s="1" t="s">
        <v>0</v>
      </c>
      <c r="B1" s="1" t="s">
        <v>3</v>
      </c>
      <c r="C1" s="1" t="s">
        <v>4</v>
      </c>
      <c r="D1" s="3" t="s">
        <v>5</v>
      </c>
      <c r="E1" s="5" t="s">
        <v>6</v>
      </c>
      <c r="F1" s="7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 t="s">
        <v>9</v>
      </c>
      <c r="B2" s="10" t="s">
        <v>10</v>
      </c>
      <c r="C2" s="13" t="s">
        <v>13</v>
      </c>
      <c r="D2" s="14"/>
      <c r="E2" s="16"/>
      <c r="F2" s="7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7"/>
      <c r="B3" s="19"/>
      <c r="C3" s="20" t="s">
        <v>18</v>
      </c>
      <c r="D3" s="22">
        <v>100.0</v>
      </c>
      <c r="E3" s="16"/>
      <c r="F3" s="7"/>
      <c r="G3" s="7"/>
      <c r="H3" s="7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7"/>
      <c r="B4" s="19"/>
      <c r="C4" s="20" t="s">
        <v>20</v>
      </c>
      <c r="D4" s="14">
        <v>70000.0</v>
      </c>
      <c r="E4" s="27"/>
      <c r="F4" s="7"/>
      <c r="G4" s="7"/>
      <c r="H4" s="7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7"/>
      <c r="B5" s="19"/>
      <c r="C5" s="20" t="s">
        <v>23</v>
      </c>
      <c r="D5" s="14">
        <v>150000.0</v>
      </c>
      <c r="E5" s="16"/>
      <c r="F5" s="7"/>
      <c r="G5" s="8"/>
      <c r="H5" s="7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7"/>
      <c r="B6" s="19"/>
      <c r="C6" s="20" t="s">
        <v>25</v>
      </c>
      <c r="D6" s="34">
        <v>0.37</v>
      </c>
      <c r="E6" s="16"/>
      <c r="F6" s="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4"/>
      <c r="B7" s="24"/>
      <c r="C7" s="38" t="s">
        <v>27</v>
      </c>
      <c r="D7" s="43">
        <f>(13%+30%+1/12+1/12/2+1/12/2)</f>
        <v>0.5966666667</v>
      </c>
      <c r="E7" s="44" t="s">
        <v>36</v>
      </c>
      <c r="F7" s="45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17"/>
      <c r="B8" s="19"/>
      <c r="C8" s="20" t="s">
        <v>38</v>
      </c>
      <c r="D8" s="46">
        <v>12.0</v>
      </c>
      <c r="E8" s="16"/>
      <c r="F8" s="7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7"/>
      <c r="B9" s="19"/>
      <c r="C9" s="20" t="s">
        <v>39</v>
      </c>
      <c r="D9" s="51">
        <f>D3*(D5-D4)*D7*D6*D8*(1+D7)</f>
        <v>33839114.67</v>
      </c>
      <c r="E9" s="16"/>
      <c r="F9" s="7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7"/>
      <c r="B10" s="19"/>
      <c r="C10" s="20" t="s">
        <v>48</v>
      </c>
      <c r="D10" s="34">
        <v>0.5</v>
      </c>
      <c r="E10" s="16"/>
      <c r="F10" s="7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7"/>
      <c r="B11" s="19"/>
      <c r="C11" s="20" t="s">
        <v>53</v>
      </c>
      <c r="D11" s="51">
        <f>(D3*D10)*D5</f>
        <v>7500000</v>
      </c>
      <c r="E11" s="16"/>
      <c r="F11" s="7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7"/>
      <c r="B12" s="19"/>
      <c r="C12" s="20" t="s">
        <v>39</v>
      </c>
      <c r="D12" s="51">
        <f>D9+D11</f>
        <v>41339114.67</v>
      </c>
      <c r="E12" s="16"/>
      <c r="F12" s="7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7"/>
      <c r="B13" s="19"/>
      <c r="C13" s="13" t="s">
        <v>54</v>
      </c>
      <c r="D13" s="22"/>
      <c r="E13" s="54" t="s">
        <v>55</v>
      </c>
      <c r="F13" s="7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7"/>
      <c r="B14" s="19"/>
      <c r="C14" s="20" t="s">
        <v>58</v>
      </c>
      <c r="D14" s="22">
        <v>50.0</v>
      </c>
      <c r="E14" s="16"/>
      <c r="F14" s="7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7"/>
      <c r="B15" s="19"/>
      <c r="C15" s="1" t="s">
        <v>65</v>
      </c>
      <c r="D15" s="14"/>
      <c r="E15" s="27"/>
      <c r="F15" s="7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7"/>
      <c r="B16" s="19"/>
      <c r="C16" s="17" t="s">
        <v>66</v>
      </c>
      <c r="D16" s="14">
        <v>70000.0</v>
      </c>
      <c r="E16" s="27" t="s">
        <v>67</v>
      </c>
      <c r="F16" s="7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7"/>
      <c r="B17" s="19"/>
      <c r="C17" s="17" t="s">
        <v>69</v>
      </c>
      <c r="D17" s="14">
        <f>D16*12</f>
        <v>840000</v>
      </c>
      <c r="E17" s="16"/>
      <c r="F17" s="7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7"/>
      <c r="B18" s="19"/>
      <c r="C18" s="17" t="s">
        <v>74</v>
      </c>
      <c r="D18" s="34">
        <v>0.18</v>
      </c>
      <c r="E18" s="27" t="s">
        <v>70</v>
      </c>
      <c r="F18" s="7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7"/>
      <c r="B19" s="19"/>
      <c r="C19" s="20" t="s">
        <v>75</v>
      </c>
      <c r="D19" s="14">
        <f>D14*D18*D17</f>
        <v>7560000</v>
      </c>
      <c r="E19" s="16"/>
      <c r="F19" s="7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7"/>
      <c r="B20" s="19"/>
      <c r="C20" s="1" t="s">
        <v>78</v>
      </c>
      <c r="D20" s="14"/>
      <c r="E20" s="27"/>
      <c r="F20" s="7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7"/>
      <c r="B21" s="19"/>
      <c r="C21" s="20" t="s">
        <v>79</v>
      </c>
      <c r="D21" s="46">
        <f>D14/0.001</f>
        <v>50000</v>
      </c>
      <c r="E21" s="27"/>
      <c r="F21" s="7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7"/>
      <c r="B22" s="19"/>
      <c r="C22" s="20" t="s">
        <v>81</v>
      </c>
      <c r="D22" s="14">
        <f>D21*3</f>
        <v>150000</v>
      </c>
      <c r="E22" s="27"/>
      <c r="F22" s="7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7"/>
      <c r="B23" s="19"/>
      <c r="C23" s="1" t="s">
        <v>83</v>
      </c>
      <c r="D23" s="14">
        <v>4000000.0</v>
      </c>
      <c r="E23" s="27"/>
      <c r="F23" s="7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7"/>
      <c r="B24" s="19"/>
      <c r="C24" s="20" t="s">
        <v>82</v>
      </c>
      <c r="D24" s="51">
        <f>D19+D22-D23</f>
        <v>3710000</v>
      </c>
      <c r="E24" s="27"/>
      <c r="F24" s="7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7"/>
      <c r="B25" s="19"/>
      <c r="C25" s="13" t="s">
        <v>86</v>
      </c>
      <c r="D25" s="66"/>
      <c r="E25" s="16"/>
      <c r="F25" s="7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7"/>
      <c r="B26" s="19"/>
      <c r="C26" s="20" t="s">
        <v>89</v>
      </c>
      <c r="D26" s="46">
        <v>200.0</v>
      </c>
      <c r="E26" s="16"/>
      <c r="F26" s="7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7"/>
      <c r="B27" s="19"/>
      <c r="C27" s="20" t="s">
        <v>90</v>
      </c>
      <c r="D27" s="46">
        <v>450.0</v>
      </c>
      <c r="E27" s="16"/>
      <c r="F27" s="7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7"/>
      <c r="B28" s="19"/>
      <c r="C28" s="20" t="s">
        <v>92</v>
      </c>
      <c r="D28" s="66">
        <v>1200.0</v>
      </c>
      <c r="E28" s="16"/>
      <c r="F28" s="7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7"/>
      <c r="B29" s="19"/>
      <c r="C29" s="20" t="s">
        <v>93</v>
      </c>
      <c r="D29" s="46">
        <v>20000.0</v>
      </c>
      <c r="E29" s="16"/>
      <c r="F29" s="7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7"/>
      <c r="B30" s="19"/>
      <c r="C30" s="20" t="s">
        <v>94</v>
      </c>
      <c r="D30" s="66">
        <v>3.0</v>
      </c>
      <c r="E30" s="16"/>
      <c r="F30" s="7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7"/>
      <c r="B31" s="19"/>
      <c r="C31" s="72" t="s">
        <v>97</v>
      </c>
      <c r="D31" s="75">
        <f>D26*D28+D29*D30</f>
        <v>300000</v>
      </c>
      <c r="E31" s="16"/>
      <c r="F31" s="7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7"/>
      <c r="B32" s="19"/>
      <c r="C32" s="72" t="s">
        <v>99</v>
      </c>
      <c r="D32" s="75">
        <f>D27*D28+D29*D30</f>
        <v>600000</v>
      </c>
      <c r="E32" s="16"/>
      <c r="F32" s="7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43.5" customHeight="1">
      <c r="A33" s="17"/>
      <c r="B33" s="19"/>
      <c r="C33" s="13" t="s">
        <v>104</v>
      </c>
      <c r="D33" s="14"/>
      <c r="E33" s="77"/>
      <c r="F33" s="7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7"/>
      <c r="B34" s="19"/>
      <c r="C34" s="78" t="s">
        <v>105</v>
      </c>
      <c r="D34" s="46">
        <v>10.0</v>
      </c>
      <c r="E34" s="27"/>
      <c r="F34" s="7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7"/>
      <c r="B35" s="19"/>
      <c r="C35" s="17" t="s">
        <v>66</v>
      </c>
      <c r="D35" s="14">
        <v>200000.0</v>
      </c>
      <c r="E35" s="27" t="s">
        <v>106</v>
      </c>
      <c r="F35" s="7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7"/>
      <c r="B36" s="19"/>
      <c r="C36" s="17" t="s">
        <v>69</v>
      </c>
      <c r="D36" s="14">
        <f>D35*12</f>
        <v>2400000</v>
      </c>
      <c r="E36" s="27"/>
      <c r="F36" s="7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7"/>
      <c r="B37" s="19"/>
      <c r="C37" s="17" t="s">
        <v>74</v>
      </c>
      <c r="D37" s="34">
        <v>0.18</v>
      </c>
      <c r="E37" s="27"/>
      <c r="F37" s="7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7"/>
      <c r="B38" s="19"/>
      <c r="C38" s="20" t="s">
        <v>75</v>
      </c>
      <c r="D38" s="14">
        <f>D34*D37*D36</f>
        <v>4320000</v>
      </c>
      <c r="E38" s="27"/>
      <c r="F38" s="7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7"/>
      <c r="B39" s="19"/>
      <c r="C39" s="78" t="s">
        <v>112</v>
      </c>
      <c r="D39" s="46">
        <v>1500.0</v>
      </c>
      <c r="E39" s="27"/>
      <c r="F39" s="7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7"/>
      <c r="B40" s="19"/>
      <c r="C40" s="78" t="s">
        <v>113</v>
      </c>
      <c r="D40" s="14">
        <v>1500.0</v>
      </c>
      <c r="E40" s="27"/>
      <c r="F40" s="7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7"/>
      <c r="B41" s="19"/>
      <c r="C41" s="78" t="s">
        <v>114</v>
      </c>
      <c r="D41" s="14">
        <f>D39*D40</f>
        <v>2250000</v>
      </c>
      <c r="E41" s="27"/>
      <c r="F41" s="7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7"/>
      <c r="B42" s="19"/>
      <c r="C42" s="20" t="s">
        <v>79</v>
      </c>
      <c r="D42" s="46">
        <f>D39/0.01</f>
        <v>150000</v>
      </c>
      <c r="E42" s="27"/>
      <c r="F42" s="7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7"/>
      <c r="B43" s="19"/>
      <c r="C43" s="20" t="s">
        <v>81</v>
      </c>
      <c r="D43" s="14">
        <f>D42*4</f>
        <v>600000</v>
      </c>
      <c r="E43" s="27"/>
      <c r="F43" s="7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7"/>
      <c r="B44" s="19"/>
      <c r="C44" s="87" t="s">
        <v>119</v>
      </c>
      <c r="D44" s="51">
        <f>D38-(D41+D43)</f>
        <v>1470000</v>
      </c>
      <c r="E44" s="16"/>
      <c r="F44" s="7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7"/>
      <c r="B45" s="19"/>
      <c r="C45" s="13" t="s">
        <v>121</v>
      </c>
      <c r="D45" s="66"/>
      <c r="E45" s="16"/>
      <c r="F45" s="7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7"/>
      <c r="B46" s="19"/>
      <c r="C46" s="91" t="s">
        <v>123</v>
      </c>
      <c r="D46" s="14">
        <v>150000.0</v>
      </c>
      <c r="E46" s="16"/>
      <c r="F46" s="7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7"/>
      <c r="B47" s="93"/>
      <c r="C47" s="91" t="s">
        <v>125</v>
      </c>
      <c r="D47" s="14">
        <f>10000*24</f>
        <v>240000</v>
      </c>
      <c r="E47" s="27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17"/>
      <c r="B48" s="93"/>
      <c r="C48" s="91" t="s">
        <v>128</v>
      </c>
      <c r="D48" s="14">
        <f>10000*180</f>
        <v>1800000</v>
      </c>
      <c r="E48" s="27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17"/>
      <c r="B49" s="93"/>
      <c r="C49" s="91" t="s">
        <v>130</v>
      </c>
      <c r="D49" s="14">
        <f>5000*120</f>
        <v>600000</v>
      </c>
      <c r="E49" s="16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7"/>
      <c r="B50" s="96"/>
      <c r="C50" s="91" t="s">
        <v>133</v>
      </c>
      <c r="D50" s="14">
        <f>24*5000</f>
        <v>120000</v>
      </c>
      <c r="E50" s="27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17"/>
      <c r="B51" s="93"/>
      <c r="C51" s="20" t="s">
        <v>135</v>
      </c>
      <c r="D51" s="75">
        <f>SUM(D46:D50)</f>
        <v>2910000</v>
      </c>
      <c r="E51" s="16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20"/>
      <c r="B52" s="101"/>
      <c r="D52" s="8"/>
      <c r="E52" s="16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20"/>
      <c r="B53" s="101"/>
      <c r="D53" s="8"/>
      <c r="E53" s="16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9" t="s">
        <v>109</v>
      </c>
      <c r="B54" s="10" t="s">
        <v>29</v>
      </c>
      <c r="D54" s="8"/>
      <c r="E54" s="16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17"/>
      <c r="B55" s="17"/>
      <c r="C55" s="25" t="s">
        <v>140</v>
      </c>
      <c r="D55" s="28"/>
      <c r="E55" s="80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17"/>
      <c r="B56" s="17"/>
      <c r="C56" s="86" t="s">
        <v>116</v>
      </c>
      <c r="D56" s="85">
        <v>110000.0</v>
      </c>
      <c r="E56" s="80" t="s">
        <v>67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17"/>
      <c r="B57" s="17"/>
      <c r="C57" s="86" t="s">
        <v>118</v>
      </c>
      <c r="D57" s="88">
        <f>D56*12</f>
        <v>1320000</v>
      </c>
      <c r="E57" s="80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17"/>
      <c r="B58" s="17"/>
      <c r="C58" s="86" t="s">
        <v>122</v>
      </c>
      <c r="D58" s="90">
        <v>10000.0</v>
      </c>
      <c r="E58" s="80" t="s">
        <v>67</v>
      </c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17"/>
      <c r="B59" s="17"/>
      <c r="C59" s="86" t="s">
        <v>124</v>
      </c>
      <c r="D59" s="94">
        <f>D57*D58</f>
        <v>13200000000</v>
      </c>
      <c r="E59" s="80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17"/>
      <c r="B60" s="17"/>
      <c r="C60" s="86" t="s">
        <v>129</v>
      </c>
      <c r="D60" s="94">
        <f>D59*3%</f>
        <v>396000000</v>
      </c>
      <c r="E60" s="98" t="s">
        <v>147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17"/>
      <c r="B61" s="17"/>
      <c r="C61" s="86" t="s">
        <v>27</v>
      </c>
      <c r="D61" s="100">
        <f>(13%+30%+1/12+1/12/2+1/12/4)</f>
        <v>0.5758333333</v>
      </c>
      <c r="E61" s="102" t="s">
        <v>137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17"/>
      <c r="B62" s="17"/>
      <c r="C62" s="86" t="s">
        <v>139</v>
      </c>
      <c r="D62" s="103">
        <f>D60*(1+D61)</f>
        <v>624030000</v>
      </c>
      <c r="E62" s="80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17"/>
      <c r="B63" s="17"/>
      <c r="C63" s="13" t="s">
        <v>141</v>
      </c>
      <c r="D63" s="46"/>
      <c r="E63" s="16"/>
      <c r="F63" s="127">
        <f>D62+D72+D82</f>
        <v>656610000</v>
      </c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17"/>
      <c r="B64" s="17"/>
      <c r="C64" s="17" t="s">
        <v>122</v>
      </c>
      <c r="D64" s="90">
        <v>2500.0</v>
      </c>
      <c r="E64" s="16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17"/>
      <c r="B65" s="93"/>
      <c r="C65" s="17" t="s">
        <v>143</v>
      </c>
      <c r="D65" s="96">
        <v>0.2</v>
      </c>
      <c r="E65" s="27" t="s">
        <v>67</v>
      </c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17"/>
      <c r="B66" s="17"/>
      <c r="C66" s="17" t="s">
        <v>144</v>
      </c>
      <c r="D66" s="96">
        <f>(69/3)%</f>
        <v>0.23</v>
      </c>
      <c r="E66" s="117" t="s">
        <v>158</v>
      </c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17"/>
      <c r="B67" s="93"/>
      <c r="C67" s="17" t="s">
        <v>148</v>
      </c>
      <c r="D67" s="96">
        <f>D65*(1-D66)</f>
        <v>0.154</v>
      </c>
      <c r="E67" s="119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17"/>
      <c r="B68" s="19"/>
      <c r="C68" s="17" t="s">
        <v>149</v>
      </c>
      <c r="D68" s="19">
        <f>D64*(D65-D67)</f>
        <v>115</v>
      </c>
      <c r="E68" s="121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20"/>
      <c r="B69" s="19"/>
      <c r="C69" s="20" t="s">
        <v>152</v>
      </c>
      <c r="D69" s="14">
        <v>100000.0</v>
      </c>
      <c r="E69" s="27" t="s">
        <v>67</v>
      </c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17"/>
      <c r="B70" s="96"/>
      <c r="C70" s="17" t="s">
        <v>153</v>
      </c>
      <c r="D70" s="96">
        <v>0.18</v>
      </c>
      <c r="E70" s="27" t="s">
        <v>70</v>
      </c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106"/>
      <c r="B71" s="125"/>
      <c r="C71" s="17" t="s">
        <v>154</v>
      </c>
      <c r="D71" s="93">
        <f>D69*12*D70</f>
        <v>216000</v>
      </c>
      <c r="E71" s="16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17"/>
      <c r="B72" s="17"/>
      <c r="C72" s="20" t="s">
        <v>156</v>
      </c>
      <c r="D72" s="51">
        <f>D68*D71</f>
        <v>24840000</v>
      </c>
      <c r="E72" s="27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17"/>
      <c r="B73" s="140"/>
      <c r="C73" s="13" t="s">
        <v>157</v>
      </c>
      <c r="D73" s="8"/>
      <c r="E73" s="16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17"/>
      <c r="B74" s="142"/>
      <c r="C74" s="20" t="s">
        <v>102</v>
      </c>
      <c r="D74" s="14">
        <v>100000.0</v>
      </c>
      <c r="E74" s="27" t="s">
        <v>67</v>
      </c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17"/>
      <c r="B75" s="143"/>
      <c r="C75" s="20" t="s">
        <v>107</v>
      </c>
      <c r="D75" s="14">
        <f>D74*12</f>
        <v>1200000</v>
      </c>
      <c r="E75" s="27" t="s">
        <v>67</v>
      </c>
      <c r="F75" s="7"/>
      <c r="G75" s="51"/>
      <c r="H75" s="130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17"/>
      <c r="B76" s="143"/>
      <c r="C76" s="17" t="s">
        <v>74</v>
      </c>
      <c r="D76" s="34">
        <v>0.18</v>
      </c>
      <c r="E76" s="27" t="s">
        <v>70</v>
      </c>
      <c r="F76" s="132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17"/>
      <c r="B77" s="143"/>
      <c r="C77" s="20" t="s">
        <v>115</v>
      </c>
      <c r="D77" s="14">
        <f>D75*D76</f>
        <v>216000</v>
      </c>
      <c r="E77" s="27" t="s">
        <v>70</v>
      </c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17"/>
      <c r="B78" s="143"/>
      <c r="C78" s="20" t="s">
        <v>160</v>
      </c>
      <c r="D78" s="14">
        <f>D77*(43%/3)</f>
        <v>30960</v>
      </c>
      <c r="E78" s="138" t="s">
        <v>172</v>
      </c>
      <c r="F78" s="139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20"/>
      <c r="B79" s="152"/>
      <c r="C79" s="20" t="s">
        <v>122</v>
      </c>
      <c r="D79" s="90">
        <v>2500.0</v>
      </c>
      <c r="E79" s="16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20"/>
      <c r="B80" s="152"/>
      <c r="C80" s="20" t="s">
        <v>165</v>
      </c>
      <c r="D80" s="34">
        <v>0.1</v>
      </c>
      <c r="E80" s="16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20"/>
      <c r="B81" s="152"/>
      <c r="C81" s="20" t="s">
        <v>132</v>
      </c>
      <c r="D81" s="46">
        <f>D79*D80</f>
        <v>250</v>
      </c>
      <c r="E81" s="16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20"/>
      <c r="B82" s="152"/>
      <c r="C82" s="20" t="s">
        <v>166</v>
      </c>
      <c r="D82" s="51">
        <f>D78*D81</f>
        <v>7740000</v>
      </c>
      <c r="E82" s="16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9" t="s">
        <v>174</v>
      </c>
      <c r="B83" s="10" t="s">
        <v>176</v>
      </c>
      <c r="C83" s="13" t="s">
        <v>177</v>
      </c>
      <c r="D83" s="8"/>
      <c r="E83" s="16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17"/>
      <c r="B84" s="17"/>
      <c r="C84" s="20" t="s">
        <v>178</v>
      </c>
      <c r="D84" s="46">
        <v>10.0</v>
      </c>
      <c r="E84" s="16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17"/>
      <c r="B85" s="17"/>
      <c r="C85" s="20" t="s">
        <v>179</v>
      </c>
      <c r="D85" s="14">
        <v>50000.0</v>
      </c>
      <c r="E85" s="27" t="s">
        <v>67</v>
      </c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17"/>
      <c r="B86" s="17"/>
      <c r="C86" s="20" t="s">
        <v>181</v>
      </c>
      <c r="D86" s="14">
        <f>D85*12</f>
        <v>600000</v>
      </c>
      <c r="E86" s="27" t="s">
        <v>67</v>
      </c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17"/>
      <c r="B87" s="17"/>
      <c r="C87" s="17" t="s">
        <v>74</v>
      </c>
      <c r="D87" s="34">
        <v>0.18</v>
      </c>
      <c r="E87" s="27" t="s">
        <v>70</v>
      </c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17"/>
      <c r="B88" s="17"/>
      <c r="C88" s="20" t="s">
        <v>183</v>
      </c>
      <c r="D88" s="51">
        <f>D84*D87*D86</f>
        <v>1080000</v>
      </c>
      <c r="E88" s="27" t="s">
        <v>185</v>
      </c>
      <c r="F88" s="7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17"/>
      <c r="B89" s="17"/>
      <c r="C89" s="13" t="s">
        <v>186</v>
      </c>
      <c r="D89" s="17"/>
      <c r="E89" s="157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17"/>
      <c r="B90" s="17"/>
      <c r="C90" s="17" t="s">
        <v>182</v>
      </c>
      <c r="D90" s="22">
        <v>120.0</v>
      </c>
      <c r="E90" s="16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17"/>
      <c r="B91" s="17"/>
      <c r="C91" s="17" t="s">
        <v>188</v>
      </c>
      <c r="D91" s="19">
        <v>40.0</v>
      </c>
      <c r="E91" s="16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17"/>
      <c r="B92" s="17"/>
      <c r="C92" s="17" t="s">
        <v>189</v>
      </c>
      <c r="D92" s="14">
        <v>1500.0</v>
      </c>
      <c r="E92" s="27" t="s">
        <v>190</v>
      </c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17"/>
      <c r="B93" s="17"/>
      <c r="C93" s="17" t="s">
        <v>192</v>
      </c>
      <c r="D93" s="51">
        <f>D90*D91*D92</f>
        <v>7200000</v>
      </c>
      <c r="E93" s="162" t="s">
        <v>194</v>
      </c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17"/>
      <c r="B94" s="17"/>
      <c r="C94" s="13" t="s">
        <v>197</v>
      </c>
      <c r="D94" s="17"/>
      <c r="E94" s="157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17"/>
      <c r="B95" s="17"/>
      <c r="C95" s="165" t="s">
        <v>199</v>
      </c>
      <c r="D95" s="166">
        <v>3000.0</v>
      </c>
      <c r="E95" s="16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17"/>
      <c r="B96" s="17"/>
      <c r="C96" s="165" t="s">
        <v>203</v>
      </c>
      <c r="D96" s="14">
        <v>1200.0</v>
      </c>
      <c r="E96" s="27" t="s">
        <v>204</v>
      </c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17"/>
      <c r="B97" s="17"/>
      <c r="C97" s="165" t="s">
        <v>206</v>
      </c>
      <c r="D97" s="34">
        <v>0.25</v>
      </c>
      <c r="E97" s="16"/>
      <c r="F97" s="7" t="s">
        <v>207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17"/>
      <c r="B98" s="17"/>
      <c r="C98" s="165" t="s">
        <v>210</v>
      </c>
      <c r="D98" s="51">
        <f>D95*D96*D97</f>
        <v>900000</v>
      </c>
      <c r="E98" s="16"/>
      <c r="F98" s="7" t="s">
        <v>211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17"/>
      <c r="B99" s="17"/>
      <c r="C99" s="13" t="s">
        <v>213</v>
      </c>
      <c r="D99" s="93"/>
      <c r="E99" s="162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17"/>
      <c r="B100" s="17"/>
      <c r="C100" s="20" t="s">
        <v>215</v>
      </c>
      <c r="D100" s="46">
        <v>750.0</v>
      </c>
      <c r="E100" s="16"/>
      <c r="F100" s="7"/>
      <c r="G100" s="132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7"/>
      <c r="B101" s="17"/>
      <c r="C101" s="20" t="s">
        <v>216</v>
      </c>
      <c r="D101" s="46">
        <f>D100*100/2</f>
        <v>37500</v>
      </c>
      <c r="E101" s="16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7"/>
      <c r="B102" s="17"/>
      <c r="C102" s="20" t="s">
        <v>222</v>
      </c>
      <c r="D102" s="14">
        <v>5.0</v>
      </c>
      <c r="E102" s="27" t="s">
        <v>223</v>
      </c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17"/>
      <c r="B103" s="17"/>
      <c r="C103" s="20" t="s">
        <v>213</v>
      </c>
      <c r="D103" s="51">
        <f>D101*D102</f>
        <v>187500</v>
      </c>
      <c r="E103" s="16"/>
      <c r="F103" s="51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7"/>
      <c r="B104" s="17"/>
      <c r="C104" s="13" t="s">
        <v>228</v>
      </c>
      <c r="D104" s="8"/>
      <c r="E104" s="16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7"/>
      <c r="B105" s="16"/>
      <c r="C105" s="20" t="s">
        <v>229</v>
      </c>
      <c r="D105" s="127">
        <f>D88</f>
        <v>1080000</v>
      </c>
      <c r="E105" s="16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7"/>
      <c r="B106" s="16"/>
      <c r="C106" s="20" t="s">
        <v>230</v>
      </c>
      <c r="D106" s="127">
        <f>D93</f>
        <v>7200000</v>
      </c>
      <c r="E106" s="16"/>
      <c r="F106" s="7"/>
      <c r="G106" s="173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7"/>
      <c r="B107" s="16"/>
      <c r="C107" s="20" t="s">
        <v>210</v>
      </c>
      <c r="D107" s="127">
        <f>D98</f>
        <v>900000</v>
      </c>
      <c r="E107" s="16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7"/>
      <c r="B108" s="16"/>
      <c r="C108" s="20" t="s">
        <v>213</v>
      </c>
      <c r="D108" s="127">
        <f>D103</f>
        <v>187500</v>
      </c>
      <c r="E108" s="16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7"/>
      <c r="B109" s="16"/>
      <c r="C109" s="20" t="s">
        <v>233</v>
      </c>
      <c r="D109" s="176">
        <f>SUM(D105:D108)</f>
        <v>9367500</v>
      </c>
      <c r="E109" s="16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7"/>
      <c r="B110" s="10" t="s">
        <v>234</v>
      </c>
      <c r="C110" s="13" t="s">
        <v>235</v>
      </c>
      <c r="D110" s="8"/>
      <c r="E110" s="16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78"/>
      <c r="B111" s="145"/>
      <c r="C111" s="20" t="s">
        <v>237</v>
      </c>
      <c r="D111" s="46">
        <v>30.0</v>
      </c>
      <c r="E111" s="148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</row>
    <row r="112">
      <c r="A112" s="178"/>
      <c r="B112" s="145"/>
      <c r="C112" s="20" t="s">
        <v>179</v>
      </c>
      <c r="D112" s="14">
        <v>60000.0</v>
      </c>
      <c r="E112" s="148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</row>
    <row r="113">
      <c r="A113" s="178"/>
      <c r="B113" s="145"/>
      <c r="C113" s="20" t="s">
        <v>181</v>
      </c>
      <c r="D113" s="14">
        <f>D112*12</f>
        <v>720000</v>
      </c>
      <c r="E113" s="148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</row>
    <row r="114">
      <c r="A114" s="178"/>
      <c r="B114" s="145"/>
      <c r="C114" s="17" t="s">
        <v>74</v>
      </c>
      <c r="D114" s="34">
        <v>0.18</v>
      </c>
      <c r="E114" s="27" t="s">
        <v>70</v>
      </c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</row>
    <row r="115">
      <c r="A115" s="178"/>
      <c r="B115" s="145"/>
      <c r="C115" s="20" t="s">
        <v>183</v>
      </c>
      <c r="D115" s="51">
        <f>D111*D114*D113</f>
        <v>3888000</v>
      </c>
      <c r="E115" s="148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</row>
    <row r="116">
      <c r="A116" s="178"/>
      <c r="B116" s="145"/>
      <c r="C116" s="72"/>
      <c r="D116" s="149"/>
      <c r="E116" s="148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</row>
    <row r="117">
      <c r="A117" s="178"/>
      <c r="B117" s="145"/>
      <c r="C117" s="20" t="s">
        <v>242</v>
      </c>
      <c r="D117" s="46">
        <v>5.0</v>
      </c>
      <c r="E117" s="148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</row>
    <row r="118">
      <c r="A118" s="178"/>
      <c r="B118" s="145"/>
      <c r="C118" s="20" t="s">
        <v>243</v>
      </c>
      <c r="D118" s="14">
        <v>150000.0</v>
      </c>
      <c r="E118" s="148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</row>
    <row r="119">
      <c r="A119" s="178"/>
      <c r="B119" s="145"/>
      <c r="C119" s="20" t="s">
        <v>246</v>
      </c>
      <c r="D119" s="14">
        <f>D118*12</f>
        <v>1800000</v>
      </c>
      <c r="E119" s="148"/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</row>
    <row r="120">
      <c r="A120" s="178"/>
      <c r="B120" s="145"/>
      <c r="C120" s="17" t="s">
        <v>74</v>
      </c>
      <c r="D120" s="34">
        <v>0.18</v>
      </c>
      <c r="E120" s="148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</row>
    <row r="121">
      <c r="A121" s="178"/>
      <c r="B121" s="145"/>
      <c r="C121" s="20" t="s">
        <v>248</v>
      </c>
      <c r="D121" s="51">
        <f>D117*D120*D119</f>
        <v>1620000</v>
      </c>
      <c r="E121" s="148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</row>
    <row r="122">
      <c r="A122" s="178"/>
      <c r="B122" s="145"/>
      <c r="C122" s="13" t="s">
        <v>157</v>
      </c>
      <c r="D122" s="8"/>
      <c r="E122" s="148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</row>
    <row r="123">
      <c r="A123" s="178"/>
      <c r="B123" s="145"/>
      <c r="C123" s="20" t="s">
        <v>249</v>
      </c>
      <c r="D123" s="14">
        <v>100000.0</v>
      </c>
      <c r="E123" s="148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</row>
    <row r="124">
      <c r="A124" s="178"/>
      <c r="B124" s="145"/>
      <c r="C124" s="20" t="s">
        <v>107</v>
      </c>
      <c r="D124" s="14">
        <f>D123*12*1.6</f>
        <v>1920000</v>
      </c>
      <c r="E124" s="148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</row>
    <row r="125">
      <c r="A125" s="178"/>
      <c r="B125" s="145"/>
      <c r="C125" s="17" t="s">
        <v>74</v>
      </c>
      <c r="D125" s="34">
        <v>0.18</v>
      </c>
      <c r="E125" s="27" t="s">
        <v>70</v>
      </c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</row>
    <row r="126">
      <c r="A126" s="178"/>
      <c r="B126" s="145"/>
      <c r="C126" s="20" t="s">
        <v>115</v>
      </c>
      <c r="D126" s="14">
        <f>D124*D125</f>
        <v>345600</v>
      </c>
      <c r="E126" s="148"/>
      <c r="F126" s="149"/>
      <c r="G126" s="149"/>
      <c r="H126" s="149"/>
      <c r="I126" s="149"/>
      <c r="J126" s="14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</row>
    <row r="127">
      <c r="A127" s="178"/>
      <c r="B127" s="145"/>
      <c r="C127" s="20" t="s">
        <v>255</v>
      </c>
      <c r="D127" s="14">
        <f>D126*(43%/3)</f>
        <v>49536</v>
      </c>
      <c r="E127" s="138" t="s">
        <v>257</v>
      </c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</row>
    <row r="128">
      <c r="A128" s="178"/>
      <c r="B128" s="145"/>
      <c r="C128" s="20" t="s">
        <v>258</v>
      </c>
      <c r="D128" s="90">
        <v>1500.0</v>
      </c>
      <c r="E128" s="148"/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</row>
    <row r="129">
      <c r="A129" s="178"/>
      <c r="B129" s="145"/>
      <c r="C129" s="20" t="s">
        <v>165</v>
      </c>
      <c r="D129" s="34">
        <v>0.01</v>
      </c>
      <c r="E129" s="148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</row>
    <row r="130">
      <c r="A130" s="178"/>
      <c r="B130" s="145"/>
      <c r="C130" s="20" t="s">
        <v>262</v>
      </c>
      <c r="D130" s="46">
        <v>100.0</v>
      </c>
      <c r="E130" s="192"/>
      <c r="F130" s="149"/>
      <c r="G130" s="149"/>
      <c r="H130" s="149"/>
      <c r="I130" s="149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</row>
    <row r="131">
      <c r="A131" s="178"/>
      <c r="B131" s="145"/>
      <c r="C131" s="20" t="s">
        <v>263</v>
      </c>
      <c r="D131" s="51">
        <f>D127*D130</f>
        <v>4953600</v>
      </c>
      <c r="E131" s="148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</row>
    <row r="132">
      <c r="A132" s="178"/>
      <c r="B132" s="145"/>
      <c r="C132" s="72"/>
      <c r="D132" s="194"/>
      <c r="E132" s="148"/>
      <c r="F132" s="149"/>
      <c r="G132" s="149"/>
      <c r="H132" s="149"/>
      <c r="I132" s="149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</row>
    <row r="133">
      <c r="A133" s="178"/>
      <c r="B133" s="145"/>
      <c r="C133" s="13" t="s">
        <v>197</v>
      </c>
      <c r="D133" s="17"/>
      <c r="E133" s="148"/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</row>
    <row r="134">
      <c r="A134" s="178"/>
      <c r="B134" s="145"/>
      <c r="C134" s="165" t="s">
        <v>199</v>
      </c>
      <c r="D134" s="166">
        <v>2500.0</v>
      </c>
      <c r="E134" s="148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</row>
    <row r="135">
      <c r="A135" s="178"/>
      <c r="B135" s="145"/>
      <c r="C135" s="165" t="s">
        <v>203</v>
      </c>
      <c r="D135" s="14">
        <v>1500.0</v>
      </c>
      <c r="E135" s="148"/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</row>
    <row r="136">
      <c r="A136" s="178"/>
      <c r="B136" s="145"/>
      <c r="C136" s="165" t="s">
        <v>206</v>
      </c>
      <c r="D136" s="34">
        <v>0.25</v>
      </c>
      <c r="E136" s="148"/>
      <c r="F136" s="149"/>
      <c r="G136" s="149"/>
      <c r="H136" s="149"/>
      <c r="I136" s="149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</row>
    <row r="137">
      <c r="A137" s="178"/>
      <c r="B137" s="145"/>
      <c r="C137" s="165" t="s">
        <v>210</v>
      </c>
      <c r="D137" s="51">
        <f>D134*D135*D136</f>
        <v>937500</v>
      </c>
      <c r="E137" s="148"/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</row>
    <row r="138">
      <c r="A138" s="178"/>
      <c r="B138" s="145"/>
      <c r="C138" s="72"/>
      <c r="D138" s="194"/>
      <c r="E138" s="148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</row>
    <row r="139">
      <c r="A139" s="178"/>
      <c r="B139" s="145"/>
      <c r="C139" s="72"/>
      <c r="D139" s="201">
        <f>D137+D131+D121+D115</f>
        <v>11399100</v>
      </c>
      <c r="E139" s="148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</row>
    <row r="140">
      <c r="A140" s="178"/>
      <c r="B140" s="145"/>
      <c r="C140" s="72"/>
      <c r="D140" s="194"/>
      <c r="E140" s="148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</row>
    <row r="141">
      <c r="A141" s="17"/>
      <c r="B141" s="10" t="s">
        <v>175</v>
      </c>
      <c r="C141" s="13" t="s">
        <v>266</v>
      </c>
      <c r="D141" s="8"/>
      <c r="E141" s="16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7"/>
      <c r="B142" s="17"/>
      <c r="C142" s="20" t="s">
        <v>162</v>
      </c>
      <c r="D142" s="46">
        <v>1000.0</v>
      </c>
      <c r="E142" s="16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7"/>
      <c r="B143" s="17"/>
      <c r="C143" s="20" t="s">
        <v>267</v>
      </c>
      <c r="D143" s="34">
        <v>0.1</v>
      </c>
      <c r="E143" s="16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7"/>
      <c r="B144" s="17"/>
      <c r="C144" s="17" t="s">
        <v>144</v>
      </c>
      <c r="D144" s="34">
        <v>0.2</v>
      </c>
      <c r="E144" s="54"/>
      <c r="F144" s="7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7"/>
      <c r="B145" s="17"/>
      <c r="C145" s="17" t="s">
        <v>148</v>
      </c>
      <c r="D145" s="96">
        <f>D143*(1-D144)</f>
        <v>0.08</v>
      </c>
      <c r="E145" s="16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7"/>
      <c r="B146" s="17"/>
      <c r="C146" s="17" t="s">
        <v>149</v>
      </c>
      <c r="D146" s="19">
        <f>D142*(D143-D145)</f>
        <v>20</v>
      </c>
      <c r="E146" s="16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7"/>
      <c r="B147" s="17"/>
      <c r="C147" s="17" t="s">
        <v>269</v>
      </c>
      <c r="D147" s="14">
        <v>100000.0</v>
      </c>
      <c r="E147" s="16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7"/>
      <c r="B148" s="17"/>
      <c r="C148" s="17" t="s">
        <v>153</v>
      </c>
      <c r="D148" s="96">
        <v>0.18</v>
      </c>
      <c r="E148" s="16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7"/>
      <c r="B149" s="17"/>
      <c r="C149" s="17" t="s">
        <v>154</v>
      </c>
      <c r="D149" s="93">
        <f>D147*12*D148</f>
        <v>216000</v>
      </c>
      <c r="E149" s="16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7"/>
      <c r="B150" s="17"/>
      <c r="C150" s="20" t="s">
        <v>266</v>
      </c>
      <c r="D150" s="51">
        <f>D146*D149</f>
        <v>4320000</v>
      </c>
      <c r="E150" s="16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7"/>
      <c r="B151" s="17"/>
      <c r="C151" s="13" t="s">
        <v>161</v>
      </c>
      <c r="D151" s="8"/>
      <c r="E151" s="16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7"/>
      <c r="B152" s="17"/>
      <c r="C152" s="20" t="s">
        <v>162</v>
      </c>
      <c r="D152" s="46">
        <v>1000.0</v>
      </c>
      <c r="E152" s="16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7"/>
      <c r="B153" s="17"/>
      <c r="C153" s="20" t="s">
        <v>164</v>
      </c>
      <c r="D153" s="14">
        <v>100000.0</v>
      </c>
      <c r="E153" s="16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7"/>
      <c r="B154" s="17"/>
      <c r="C154" s="20" t="s">
        <v>167</v>
      </c>
      <c r="D154" s="14">
        <f>D152*D153</f>
        <v>100000000</v>
      </c>
      <c r="E154" s="16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7"/>
      <c r="B155" s="17"/>
      <c r="C155" s="20" t="s">
        <v>271</v>
      </c>
      <c r="D155" s="34">
        <v>0.02</v>
      </c>
      <c r="E155" s="54"/>
      <c r="F155" s="160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7"/>
      <c r="B156" s="17"/>
      <c r="C156" s="20" t="s">
        <v>272</v>
      </c>
      <c r="D156" s="46">
        <v>2.0</v>
      </c>
      <c r="E156" s="54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7"/>
      <c r="B157" s="17"/>
      <c r="C157" s="20" t="s">
        <v>161</v>
      </c>
      <c r="D157" s="176">
        <f>D154*D155*D156</f>
        <v>4000000</v>
      </c>
      <c r="E157" s="16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7"/>
      <c r="B158" s="17"/>
      <c r="C158" s="13" t="s">
        <v>273</v>
      </c>
      <c r="D158" s="17"/>
      <c r="E158" s="16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7"/>
      <c r="B159" s="17"/>
      <c r="C159" s="20" t="s">
        <v>162</v>
      </c>
      <c r="D159" s="46">
        <v>1000.0</v>
      </c>
      <c r="E159" s="16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7"/>
      <c r="B160" s="17"/>
      <c r="C160" s="20" t="s">
        <v>276</v>
      </c>
      <c r="D160" s="46">
        <v>100.0</v>
      </c>
      <c r="E160" s="16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7"/>
      <c r="B161" s="17"/>
      <c r="C161" s="20" t="s">
        <v>278</v>
      </c>
      <c r="D161" s="14">
        <v>20000.0</v>
      </c>
      <c r="E161" s="27" t="s">
        <v>279</v>
      </c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7"/>
      <c r="B162" s="17"/>
      <c r="C162" s="20" t="s">
        <v>280</v>
      </c>
      <c r="D162" s="51">
        <f>D160*D161</f>
        <v>2000000</v>
      </c>
      <c r="E162" s="16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7"/>
      <c r="B163" s="17"/>
      <c r="C163" s="13" t="s">
        <v>186</v>
      </c>
      <c r="D163" s="17"/>
      <c r="E163" s="16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7"/>
      <c r="B164" s="17"/>
      <c r="C164" s="20" t="s">
        <v>284</v>
      </c>
      <c r="D164" s="22">
        <v>1000.0</v>
      </c>
      <c r="E164" s="16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7"/>
      <c r="B165" s="17"/>
      <c r="C165" s="20" t="s">
        <v>286</v>
      </c>
      <c r="D165" s="34">
        <v>0.5</v>
      </c>
      <c r="E165" s="16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17"/>
      <c r="B166" s="17"/>
      <c r="C166" s="17" t="s">
        <v>182</v>
      </c>
      <c r="D166" s="22">
        <f>D164*D165</f>
        <v>500</v>
      </c>
      <c r="E166" s="16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17"/>
      <c r="B167" s="17"/>
      <c r="C167" s="17" t="s">
        <v>188</v>
      </c>
      <c r="D167" s="22">
        <v>25.0</v>
      </c>
      <c r="E167" s="16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17"/>
      <c r="B168" s="17"/>
      <c r="C168" s="20" t="s">
        <v>288</v>
      </c>
      <c r="D168" s="14">
        <v>2500.0</v>
      </c>
      <c r="E168" s="16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17"/>
      <c r="B169" s="17"/>
      <c r="C169" s="17" t="s">
        <v>192</v>
      </c>
      <c r="D169" s="51">
        <f>D166*D167*D168</f>
        <v>31250000</v>
      </c>
      <c r="E169" s="16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17"/>
      <c r="B170" s="17"/>
      <c r="C170" s="13" t="s">
        <v>291</v>
      </c>
      <c r="D170" s="8"/>
      <c r="E170" s="212" t="s">
        <v>292</v>
      </c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17"/>
      <c r="B171" s="17"/>
      <c r="C171" s="20" t="s">
        <v>266</v>
      </c>
      <c r="D171" s="14">
        <f>D150</f>
        <v>4320000</v>
      </c>
      <c r="E171" s="16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17"/>
      <c r="B172" s="17"/>
      <c r="C172" s="20" t="s">
        <v>161</v>
      </c>
      <c r="D172" s="127">
        <f>D157</f>
        <v>4000000</v>
      </c>
      <c r="E172" s="27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17"/>
      <c r="B173" s="17"/>
      <c r="C173" s="20" t="s">
        <v>280</v>
      </c>
      <c r="D173" s="14">
        <f>D162</f>
        <v>2000000</v>
      </c>
      <c r="E173" s="16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193"/>
      <c r="B174" s="16"/>
      <c r="C174" s="17" t="s">
        <v>192</v>
      </c>
      <c r="D174" s="14">
        <f>D169</f>
        <v>31250000</v>
      </c>
      <c r="E174" s="16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193"/>
      <c r="B175" s="16"/>
      <c r="C175" s="20" t="s">
        <v>291</v>
      </c>
      <c r="D175" s="176">
        <f>SUM(D171:D174)</f>
        <v>41570000</v>
      </c>
      <c r="E175" s="16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193" t="s">
        <v>296</v>
      </c>
      <c r="B176" s="10" t="s">
        <v>297</v>
      </c>
      <c r="C176" s="13" t="s">
        <v>298</v>
      </c>
      <c r="D176" s="51"/>
      <c r="E176" s="16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20"/>
      <c r="B177" s="213"/>
      <c r="C177" s="165" t="s">
        <v>299</v>
      </c>
      <c r="D177" s="46">
        <v>50.0</v>
      </c>
      <c r="E177" s="27" t="s">
        <v>67</v>
      </c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20"/>
      <c r="B178" s="213"/>
      <c r="C178" s="165" t="s">
        <v>300</v>
      </c>
      <c r="D178" s="46">
        <v>100.0</v>
      </c>
      <c r="E178" s="16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20"/>
      <c r="B179" s="213"/>
      <c r="C179" s="165" t="s">
        <v>301</v>
      </c>
      <c r="D179" s="46">
        <f>D177*D178</f>
        <v>5000</v>
      </c>
      <c r="E179" s="16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20"/>
      <c r="B180" s="17"/>
      <c r="C180" s="165" t="s">
        <v>304</v>
      </c>
      <c r="D180" s="14">
        <v>1400.0</v>
      </c>
      <c r="E180" s="27" t="s">
        <v>305</v>
      </c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20"/>
      <c r="B181" s="17"/>
      <c r="C181" s="165" t="s">
        <v>308</v>
      </c>
      <c r="D181" s="14">
        <f>D179*D180</f>
        <v>7000000</v>
      </c>
      <c r="E181" s="16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20"/>
      <c r="B182" s="17"/>
      <c r="C182" s="165" t="s">
        <v>310</v>
      </c>
      <c r="D182" s="34">
        <v>0.1</v>
      </c>
      <c r="E182" s="16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17"/>
      <c r="B183" s="17"/>
      <c r="C183" s="165" t="s">
        <v>312</v>
      </c>
      <c r="D183" s="51">
        <f>D181*D182</f>
        <v>700000</v>
      </c>
      <c r="E183" s="16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17"/>
      <c r="B184" s="17"/>
      <c r="C184" s="17"/>
      <c r="D184" s="8"/>
      <c r="E184" s="16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17"/>
      <c r="B185" s="17"/>
      <c r="C185" s="13" t="s">
        <v>315</v>
      </c>
      <c r="D185" s="8"/>
      <c r="E185" s="16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17"/>
      <c r="B186" s="17"/>
      <c r="C186" s="20" t="s">
        <v>316</v>
      </c>
      <c r="D186" s="14">
        <f>D181</f>
        <v>7000000</v>
      </c>
      <c r="E186" s="27" t="s">
        <v>67</v>
      </c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7"/>
      <c r="B187" s="17"/>
      <c r="C187" s="17" t="s">
        <v>27</v>
      </c>
      <c r="D187" s="96">
        <f>(13%+30%+1/12+1/12/2+1/12/2)</f>
        <v>0.5966666667</v>
      </c>
      <c r="E187" s="27" t="s">
        <v>36</v>
      </c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7"/>
      <c r="B188" s="17"/>
      <c r="C188" s="17" t="s">
        <v>318</v>
      </c>
      <c r="D188" s="93">
        <f>D186*(1+D187)</f>
        <v>11176666.67</v>
      </c>
      <c r="E188" s="16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17"/>
      <c r="B189" s="17"/>
      <c r="C189" s="20" t="s">
        <v>319</v>
      </c>
      <c r="D189" s="219">
        <f>D180</f>
        <v>1400</v>
      </c>
      <c r="E189" s="27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17"/>
      <c r="B190" s="17"/>
      <c r="C190" s="20" t="s">
        <v>320</v>
      </c>
      <c r="D190" s="19">
        <v>3.0</v>
      </c>
      <c r="E190" s="16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106"/>
      <c r="B191" s="17"/>
      <c r="C191" s="17" t="s">
        <v>322</v>
      </c>
      <c r="D191" s="96">
        <v>0.3</v>
      </c>
      <c r="E191" s="16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17"/>
      <c r="B192" s="17"/>
      <c r="C192" s="17" t="s">
        <v>323</v>
      </c>
      <c r="D192" s="51">
        <f>D188*D189*D190*D191</f>
        <v>14082600000</v>
      </c>
      <c r="E192" s="16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7"/>
      <c r="B193" s="17"/>
      <c r="C193" s="17"/>
      <c r="D193" s="8"/>
      <c r="E193" s="16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7"/>
      <c r="B194" s="17"/>
      <c r="C194" s="17"/>
      <c r="D194" s="8"/>
      <c r="E194" s="16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7"/>
      <c r="B195" s="17"/>
      <c r="C195" s="13" t="s">
        <v>326</v>
      </c>
      <c r="D195" s="8"/>
      <c r="E195" s="16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7"/>
      <c r="B196" s="17"/>
      <c r="C196" s="20" t="s">
        <v>162</v>
      </c>
      <c r="D196" s="46">
        <v>1000.0</v>
      </c>
      <c r="E196" s="16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7"/>
      <c r="B197" s="17"/>
      <c r="C197" s="20" t="s">
        <v>328</v>
      </c>
      <c r="D197" s="14">
        <v>15000.0</v>
      </c>
      <c r="E197" s="16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7"/>
      <c r="B198" s="17"/>
      <c r="C198" s="20" t="s">
        <v>329</v>
      </c>
      <c r="D198" s="14">
        <f>D196*D197</f>
        <v>15000000</v>
      </c>
      <c r="E198" s="16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7"/>
      <c r="B199" s="17"/>
      <c r="C199" s="20" t="s">
        <v>330</v>
      </c>
      <c r="D199" s="51">
        <f>D198</f>
        <v>15000000</v>
      </c>
      <c r="E199" s="16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7"/>
      <c r="B200" s="17"/>
      <c r="C200" s="17"/>
      <c r="D200" s="8"/>
      <c r="E200" s="16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7"/>
      <c r="B201" s="17"/>
      <c r="C201" s="13" t="s">
        <v>302</v>
      </c>
      <c r="D201" s="8"/>
      <c r="E201" s="16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17"/>
      <c r="B202" s="17"/>
      <c r="C202" s="139" t="s">
        <v>303</v>
      </c>
      <c r="D202" s="14">
        <v>100000.0</v>
      </c>
      <c r="E202" s="16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17"/>
      <c r="B203" s="17"/>
      <c r="C203" s="139" t="s">
        <v>306</v>
      </c>
      <c r="D203" s="14">
        <v>1000000.0</v>
      </c>
      <c r="E203" s="16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7"/>
      <c r="B204" s="17"/>
      <c r="C204" s="139" t="s">
        <v>309</v>
      </c>
      <c r="D204" s="14">
        <f>3*250000</f>
        <v>750000</v>
      </c>
      <c r="E204" s="16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7"/>
      <c r="B205" s="17"/>
      <c r="C205" s="139" t="s">
        <v>311</v>
      </c>
      <c r="D205" s="14">
        <v>300000.0</v>
      </c>
      <c r="E205" s="16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17"/>
      <c r="B206" s="17"/>
      <c r="C206" s="139" t="s">
        <v>313</v>
      </c>
      <c r="D206" s="14">
        <v>45000.0</v>
      </c>
      <c r="E206" s="16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17"/>
      <c r="B207" s="17"/>
      <c r="C207" s="139" t="s">
        <v>314</v>
      </c>
      <c r="D207" s="14">
        <f>1500*70*2</f>
        <v>210000</v>
      </c>
      <c r="E207" s="16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7"/>
      <c r="B208" s="17"/>
      <c r="C208" s="217" t="s">
        <v>317</v>
      </c>
      <c r="D208" s="176">
        <f>SUM(D202:D207)</f>
        <v>2405000</v>
      </c>
      <c r="E208" s="16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7"/>
      <c r="B209" s="17"/>
      <c r="C209" s="17"/>
      <c r="D209" s="8"/>
      <c r="E209" s="16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17"/>
      <c r="B210" s="17"/>
      <c r="C210" s="17"/>
      <c r="D210" s="8"/>
      <c r="E210" s="16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17"/>
      <c r="B211" s="17"/>
      <c r="C211" s="17"/>
      <c r="D211" s="8"/>
      <c r="E211" s="16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17"/>
      <c r="B212" s="17"/>
      <c r="C212" s="17"/>
      <c r="D212" s="8"/>
      <c r="E212" s="16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7"/>
      <c r="B213" s="17"/>
      <c r="C213" s="17"/>
      <c r="D213" s="8"/>
      <c r="E213" s="16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7"/>
      <c r="B214" s="17"/>
      <c r="C214" s="17"/>
      <c r="D214" s="8"/>
      <c r="E214" s="16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7"/>
      <c r="B215" s="17"/>
      <c r="C215" s="17"/>
      <c r="D215" s="8"/>
      <c r="E215" s="16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17"/>
      <c r="B216" s="17"/>
      <c r="C216" s="17"/>
      <c r="D216" s="8"/>
      <c r="E216" s="16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17"/>
      <c r="B217" s="17"/>
      <c r="C217" s="17"/>
      <c r="D217" s="8"/>
      <c r="E217" s="16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17"/>
      <c r="B218" s="17"/>
      <c r="C218" s="17"/>
      <c r="D218" s="8"/>
      <c r="E218" s="16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17"/>
      <c r="B219" s="17"/>
      <c r="C219" s="17"/>
      <c r="D219" s="8"/>
      <c r="E219" s="16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17"/>
      <c r="B220" s="17"/>
      <c r="C220" s="17"/>
      <c r="D220" s="8"/>
      <c r="E220" s="16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7"/>
      <c r="B221" s="17"/>
      <c r="C221" s="17"/>
      <c r="D221" s="8"/>
      <c r="E221" s="16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17"/>
      <c r="B222" s="17"/>
      <c r="C222" s="17"/>
      <c r="D222" s="8"/>
      <c r="E222" s="16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17"/>
      <c r="B223" s="17"/>
      <c r="C223" s="17"/>
      <c r="D223" s="8"/>
      <c r="E223" s="16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17"/>
      <c r="B224" s="17"/>
      <c r="C224" s="17"/>
      <c r="D224" s="8"/>
      <c r="E224" s="16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7"/>
      <c r="B225" s="17"/>
      <c r="C225" s="17"/>
      <c r="D225" s="8"/>
      <c r="E225" s="16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17"/>
      <c r="B226" s="17"/>
      <c r="C226" s="17"/>
      <c r="D226" s="8"/>
      <c r="E226" s="16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7"/>
      <c r="B227" s="17"/>
      <c r="C227" s="17"/>
      <c r="D227" s="8"/>
      <c r="E227" s="16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7"/>
      <c r="B228" s="17"/>
      <c r="C228" s="17"/>
      <c r="D228" s="8"/>
      <c r="E228" s="16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7"/>
      <c r="B229" s="17"/>
      <c r="C229" s="17"/>
      <c r="D229" s="8"/>
      <c r="E229" s="16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7"/>
      <c r="B230" s="17"/>
      <c r="C230" s="17"/>
      <c r="D230" s="8"/>
      <c r="E230" s="16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17"/>
      <c r="B231" s="17"/>
      <c r="C231" s="17"/>
      <c r="D231" s="8"/>
      <c r="E231" s="16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7"/>
      <c r="B232" s="17"/>
      <c r="C232" s="17"/>
      <c r="D232" s="8"/>
      <c r="E232" s="16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17"/>
      <c r="B233" s="17"/>
      <c r="C233" s="17"/>
      <c r="D233" s="8"/>
      <c r="E233" s="16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7"/>
      <c r="B234" s="17"/>
      <c r="C234" s="17"/>
      <c r="D234" s="8"/>
      <c r="E234" s="16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7"/>
      <c r="B235" s="17"/>
      <c r="C235" s="17"/>
      <c r="D235" s="8"/>
      <c r="E235" s="16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7"/>
      <c r="B236" s="17"/>
      <c r="C236" s="17"/>
      <c r="D236" s="8"/>
      <c r="E236" s="16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7"/>
      <c r="B237" s="17"/>
      <c r="C237" s="17"/>
      <c r="D237" s="8"/>
      <c r="E237" s="16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17"/>
      <c r="B238" s="17"/>
      <c r="C238" s="17"/>
      <c r="D238" s="8"/>
      <c r="E238" s="16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17"/>
      <c r="B239" s="17"/>
      <c r="C239" s="17"/>
      <c r="D239" s="8"/>
      <c r="E239" s="16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17"/>
      <c r="B240" s="17"/>
      <c r="C240" s="17"/>
      <c r="D240" s="8"/>
      <c r="E240" s="16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17"/>
      <c r="B241" s="17"/>
      <c r="C241" s="17"/>
      <c r="D241" s="8"/>
      <c r="E241" s="16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7"/>
      <c r="B242" s="17"/>
      <c r="C242" s="17"/>
      <c r="D242" s="8"/>
      <c r="E242" s="16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7"/>
      <c r="B243" s="17"/>
      <c r="C243" s="17"/>
      <c r="D243" s="8"/>
      <c r="E243" s="16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7"/>
      <c r="B244" s="17"/>
      <c r="C244" s="17"/>
      <c r="D244" s="8"/>
      <c r="E244" s="16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7"/>
      <c r="B245" s="17"/>
      <c r="C245" s="17"/>
      <c r="D245" s="8"/>
      <c r="E245" s="16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7"/>
      <c r="B246" s="17"/>
      <c r="C246" s="17"/>
      <c r="D246" s="8"/>
      <c r="E246" s="16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7"/>
      <c r="B247" s="17"/>
      <c r="C247" s="17"/>
      <c r="D247" s="8"/>
      <c r="E247" s="16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7"/>
      <c r="B248" s="17"/>
      <c r="C248" s="17"/>
      <c r="D248" s="8"/>
      <c r="E248" s="16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17"/>
      <c r="B249" s="17"/>
      <c r="C249" s="17"/>
      <c r="D249" s="8"/>
      <c r="E249" s="16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17"/>
      <c r="B250" s="17"/>
      <c r="C250" s="17"/>
      <c r="D250" s="8"/>
      <c r="E250" s="16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17"/>
      <c r="B251" s="17"/>
      <c r="C251" s="17"/>
      <c r="D251" s="8"/>
      <c r="E251" s="16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7"/>
      <c r="B252" s="17"/>
      <c r="C252" s="17"/>
      <c r="D252" s="8"/>
      <c r="E252" s="16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7"/>
      <c r="B253" s="17"/>
      <c r="C253" s="17"/>
      <c r="D253" s="8"/>
      <c r="E253" s="16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7"/>
      <c r="B254" s="17"/>
      <c r="C254" s="17"/>
      <c r="D254" s="8"/>
      <c r="E254" s="16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17"/>
      <c r="B255" s="17"/>
      <c r="C255" s="17"/>
      <c r="D255" s="8"/>
      <c r="E255" s="16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7"/>
      <c r="B256" s="17"/>
      <c r="C256" s="17"/>
      <c r="D256" s="8"/>
      <c r="E256" s="16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7"/>
      <c r="B257" s="17"/>
      <c r="C257" s="17"/>
      <c r="D257" s="8"/>
      <c r="E257" s="16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7"/>
      <c r="B258" s="17"/>
      <c r="C258" s="17"/>
      <c r="D258" s="8"/>
      <c r="E258" s="16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17"/>
      <c r="B259" s="17"/>
      <c r="C259" s="17"/>
      <c r="D259" s="8"/>
      <c r="E259" s="16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17"/>
      <c r="B260" s="17"/>
      <c r="C260" s="17"/>
      <c r="D260" s="8"/>
      <c r="E260" s="16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17"/>
      <c r="B261" s="17"/>
      <c r="C261" s="17"/>
      <c r="D261" s="8"/>
      <c r="E261" s="16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17"/>
      <c r="B262" s="17"/>
      <c r="C262" s="17"/>
      <c r="D262" s="8"/>
      <c r="E262" s="16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7"/>
      <c r="B263" s="17"/>
      <c r="C263" s="17"/>
      <c r="D263" s="8"/>
      <c r="E263" s="16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7"/>
      <c r="B264" s="17"/>
      <c r="C264" s="17"/>
      <c r="D264" s="8"/>
      <c r="E264" s="16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7"/>
      <c r="B265" s="17"/>
      <c r="C265" s="17"/>
      <c r="D265" s="8"/>
      <c r="E265" s="16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17"/>
      <c r="B266" s="17"/>
      <c r="C266" s="17"/>
      <c r="D266" s="8"/>
      <c r="E266" s="16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17"/>
      <c r="B267" s="17"/>
      <c r="C267" s="17"/>
      <c r="D267" s="8"/>
      <c r="E267" s="16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17"/>
      <c r="B268" s="17"/>
      <c r="C268" s="17"/>
      <c r="D268" s="8"/>
      <c r="E268" s="16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7"/>
      <c r="B269" s="17"/>
      <c r="C269" s="17"/>
      <c r="D269" s="8"/>
      <c r="E269" s="16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7"/>
      <c r="B270" s="17"/>
      <c r="C270" s="17"/>
      <c r="D270" s="8"/>
      <c r="E270" s="16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7"/>
      <c r="B271" s="17"/>
      <c r="C271" s="17"/>
      <c r="D271" s="8"/>
      <c r="E271" s="16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7"/>
      <c r="B272" s="17"/>
      <c r="C272" s="17"/>
      <c r="D272" s="8"/>
      <c r="E272" s="16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17"/>
      <c r="B273" s="17"/>
      <c r="C273" s="17"/>
      <c r="D273" s="8"/>
      <c r="E273" s="16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17"/>
      <c r="B274" s="17"/>
      <c r="C274" s="17"/>
      <c r="D274" s="8"/>
      <c r="E274" s="16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17"/>
      <c r="B275" s="17"/>
      <c r="C275" s="17"/>
      <c r="D275" s="8"/>
      <c r="E275" s="16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17"/>
      <c r="B276" s="17"/>
      <c r="C276" s="17"/>
      <c r="D276" s="8"/>
      <c r="E276" s="16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17"/>
      <c r="B277" s="17"/>
      <c r="C277" s="17"/>
      <c r="D277" s="8"/>
      <c r="E277" s="16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17"/>
      <c r="B278" s="17"/>
      <c r="C278" s="17"/>
      <c r="D278" s="8"/>
      <c r="E278" s="16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17"/>
      <c r="B279" s="17"/>
      <c r="C279" s="17"/>
      <c r="D279" s="8"/>
      <c r="E279" s="16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17"/>
      <c r="B280" s="17"/>
      <c r="C280" s="17"/>
      <c r="D280" s="8"/>
      <c r="E280" s="16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17"/>
      <c r="B281" s="17"/>
      <c r="C281" s="17"/>
      <c r="D281" s="8"/>
      <c r="E281" s="16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17"/>
      <c r="B282" s="17"/>
      <c r="C282" s="17"/>
      <c r="D282" s="8"/>
      <c r="E282" s="16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17"/>
      <c r="B283" s="17"/>
      <c r="C283" s="17"/>
      <c r="D283" s="8"/>
      <c r="E283" s="16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17"/>
      <c r="B284" s="17"/>
      <c r="C284" s="17"/>
      <c r="D284" s="8"/>
      <c r="E284" s="16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17"/>
      <c r="B285" s="17"/>
      <c r="C285" s="17"/>
      <c r="D285" s="8"/>
      <c r="E285" s="16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17"/>
      <c r="B286" s="17"/>
      <c r="C286" s="17"/>
      <c r="D286" s="8"/>
      <c r="E286" s="16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17"/>
      <c r="B287" s="17"/>
      <c r="C287" s="17"/>
      <c r="D287" s="8"/>
      <c r="E287" s="16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17"/>
      <c r="B288" s="17"/>
      <c r="C288" s="17"/>
      <c r="D288" s="8"/>
      <c r="E288" s="16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17"/>
      <c r="B289" s="17"/>
      <c r="C289" s="17"/>
      <c r="D289" s="8"/>
      <c r="E289" s="16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17"/>
      <c r="B290" s="17"/>
      <c r="C290" s="17"/>
      <c r="D290" s="8"/>
      <c r="E290" s="16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17"/>
      <c r="B291" s="17"/>
      <c r="C291" s="17"/>
      <c r="D291" s="8"/>
      <c r="E291" s="16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17"/>
      <c r="B292" s="17"/>
      <c r="C292" s="17"/>
      <c r="D292" s="8"/>
      <c r="E292" s="16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17"/>
      <c r="B293" s="17"/>
      <c r="C293" s="17"/>
      <c r="D293" s="8"/>
      <c r="E293" s="16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17"/>
      <c r="B294" s="17"/>
      <c r="C294" s="17"/>
      <c r="D294" s="8"/>
      <c r="E294" s="16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17"/>
      <c r="B295" s="17"/>
      <c r="C295" s="17"/>
      <c r="D295" s="8"/>
      <c r="E295" s="16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17"/>
      <c r="B296" s="17"/>
      <c r="C296" s="17"/>
      <c r="D296" s="8"/>
      <c r="E296" s="16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17"/>
      <c r="B297" s="17"/>
      <c r="C297" s="17"/>
      <c r="D297" s="8"/>
      <c r="E297" s="16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17"/>
      <c r="B298" s="17"/>
      <c r="C298" s="17"/>
      <c r="D298" s="8"/>
      <c r="E298" s="16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17"/>
      <c r="B299" s="17"/>
      <c r="C299" s="17"/>
      <c r="D299" s="8"/>
      <c r="E299" s="16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17"/>
      <c r="B300" s="17"/>
      <c r="C300" s="17"/>
      <c r="D300" s="8"/>
      <c r="E300" s="16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17"/>
      <c r="B301" s="17"/>
      <c r="C301" s="17"/>
      <c r="D301" s="8"/>
      <c r="E301" s="16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17"/>
      <c r="B302" s="17"/>
      <c r="C302" s="17"/>
      <c r="D302" s="8"/>
      <c r="E302" s="16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17"/>
      <c r="B303" s="17"/>
      <c r="C303" s="17"/>
      <c r="D303" s="8"/>
      <c r="E303" s="16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17"/>
      <c r="B304" s="17"/>
      <c r="C304" s="17"/>
      <c r="D304" s="8"/>
      <c r="E304" s="16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17"/>
      <c r="B305" s="17"/>
      <c r="C305" s="17"/>
      <c r="D305" s="8"/>
      <c r="E305" s="16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17"/>
      <c r="B306" s="17"/>
      <c r="C306" s="17"/>
      <c r="D306" s="8"/>
      <c r="E306" s="16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17"/>
      <c r="B307" s="17"/>
      <c r="C307" s="17"/>
      <c r="D307" s="8"/>
      <c r="E307" s="16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17"/>
      <c r="B308" s="17"/>
      <c r="C308" s="17"/>
      <c r="D308" s="8"/>
      <c r="E308" s="16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17"/>
      <c r="B309" s="17"/>
      <c r="C309" s="17"/>
      <c r="D309" s="8"/>
      <c r="E309" s="16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17"/>
      <c r="B310" s="17"/>
      <c r="C310" s="17"/>
      <c r="D310" s="8"/>
      <c r="E310" s="16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17"/>
      <c r="B311" s="17"/>
      <c r="C311" s="17"/>
      <c r="D311" s="8"/>
      <c r="E311" s="16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17"/>
      <c r="B312" s="17"/>
      <c r="C312" s="17"/>
      <c r="D312" s="8"/>
      <c r="E312" s="16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17"/>
      <c r="B313" s="17"/>
      <c r="C313" s="17"/>
      <c r="D313" s="8"/>
      <c r="E313" s="16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17"/>
      <c r="B314" s="17"/>
      <c r="C314" s="17"/>
      <c r="D314" s="8"/>
      <c r="E314" s="16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17"/>
      <c r="B315" s="17"/>
      <c r="C315" s="17"/>
      <c r="D315" s="8"/>
      <c r="E315" s="16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17"/>
      <c r="B316" s="17"/>
      <c r="C316" s="17"/>
      <c r="D316" s="8"/>
      <c r="E316" s="16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17"/>
      <c r="B317" s="17"/>
      <c r="C317" s="17"/>
      <c r="D317" s="8"/>
      <c r="E317" s="16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17"/>
      <c r="B318" s="17"/>
      <c r="C318" s="17"/>
      <c r="D318" s="8"/>
      <c r="E318" s="16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17"/>
      <c r="B319" s="17"/>
      <c r="C319" s="17"/>
      <c r="D319" s="8"/>
      <c r="E319" s="16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17"/>
      <c r="B320" s="17"/>
      <c r="C320" s="17"/>
      <c r="D320" s="8"/>
      <c r="E320" s="16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7"/>
      <c r="B321" s="17"/>
      <c r="C321" s="17"/>
      <c r="D321" s="8"/>
      <c r="E321" s="16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17"/>
      <c r="B322" s="17"/>
      <c r="C322" s="17"/>
      <c r="D322" s="8"/>
      <c r="E322" s="16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17"/>
      <c r="B323" s="17"/>
      <c r="C323" s="17"/>
      <c r="D323" s="8"/>
      <c r="E323" s="16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17"/>
      <c r="B324" s="17"/>
      <c r="C324" s="17"/>
      <c r="D324" s="8"/>
      <c r="E324" s="16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17"/>
      <c r="B325" s="17"/>
      <c r="C325" s="17"/>
      <c r="D325" s="8"/>
      <c r="E325" s="16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17"/>
      <c r="B326" s="17"/>
      <c r="C326" s="17"/>
      <c r="D326" s="8"/>
      <c r="E326" s="16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17"/>
      <c r="B327" s="17"/>
      <c r="C327" s="17"/>
      <c r="D327" s="8"/>
      <c r="E327" s="16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17"/>
      <c r="B328" s="17"/>
      <c r="C328" s="17"/>
      <c r="D328" s="8"/>
      <c r="E328" s="16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17"/>
      <c r="B329" s="17"/>
      <c r="C329" s="17"/>
      <c r="D329" s="8"/>
      <c r="E329" s="16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17"/>
      <c r="B330" s="17"/>
      <c r="C330" s="17"/>
      <c r="D330" s="8"/>
      <c r="E330" s="16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17"/>
      <c r="B331" s="17"/>
      <c r="C331" s="17"/>
      <c r="D331" s="8"/>
      <c r="E331" s="16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17"/>
      <c r="B332" s="17"/>
      <c r="C332" s="17"/>
      <c r="D332" s="8"/>
      <c r="E332" s="16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17"/>
      <c r="B333" s="17"/>
      <c r="C333" s="17"/>
      <c r="D333" s="8"/>
      <c r="E333" s="16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17"/>
      <c r="B334" s="17"/>
      <c r="C334" s="17"/>
      <c r="D334" s="8"/>
      <c r="E334" s="16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17"/>
      <c r="B335" s="17"/>
      <c r="C335" s="17"/>
      <c r="D335" s="8"/>
      <c r="E335" s="16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17"/>
      <c r="B336" s="17"/>
      <c r="C336" s="17"/>
      <c r="D336" s="8"/>
      <c r="E336" s="16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17"/>
      <c r="B337" s="17"/>
      <c r="C337" s="17"/>
      <c r="D337" s="8"/>
      <c r="E337" s="16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17"/>
      <c r="B338" s="17"/>
      <c r="C338" s="17"/>
      <c r="D338" s="8"/>
      <c r="E338" s="16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17"/>
      <c r="B339" s="17"/>
      <c r="C339" s="17"/>
      <c r="D339" s="8"/>
      <c r="E339" s="16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17"/>
      <c r="B340" s="17"/>
      <c r="C340" s="17"/>
      <c r="D340" s="8"/>
      <c r="E340" s="16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17"/>
      <c r="B341" s="17"/>
      <c r="C341" s="17"/>
      <c r="D341" s="8"/>
      <c r="E341" s="16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17"/>
      <c r="B342" s="17"/>
      <c r="C342" s="17"/>
      <c r="D342" s="8"/>
      <c r="E342" s="16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17"/>
      <c r="B343" s="17"/>
      <c r="C343" s="17"/>
      <c r="D343" s="8"/>
      <c r="E343" s="16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17"/>
      <c r="B344" s="17"/>
      <c r="C344" s="17"/>
      <c r="D344" s="8"/>
      <c r="E344" s="16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17"/>
      <c r="B345" s="17"/>
      <c r="C345" s="17"/>
      <c r="D345" s="8"/>
      <c r="E345" s="16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17"/>
      <c r="B346" s="17"/>
      <c r="C346" s="17"/>
      <c r="D346" s="8"/>
      <c r="E346" s="16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17"/>
      <c r="B347" s="17"/>
      <c r="C347" s="17"/>
      <c r="D347" s="8"/>
      <c r="E347" s="16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17"/>
      <c r="B348" s="17"/>
      <c r="C348" s="17"/>
      <c r="D348" s="8"/>
      <c r="E348" s="16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17"/>
      <c r="B349" s="17"/>
      <c r="C349" s="17"/>
      <c r="D349" s="8"/>
      <c r="E349" s="16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17"/>
      <c r="B350" s="17"/>
      <c r="C350" s="17"/>
      <c r="D350" s="8"/>
      <c r="E350" s="16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17"/>
      <c r="B351" s="17"/>
      <c r="C351" s="17"/>
      <c r="D351" s="8"/>
      <c r="E351" s="16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17"/>
      <c r="B352" s="17"/>
      <c r="C352" s="17"/>
      <c r="D352" s="8"/>
      <c r="E352" s="16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17"/>
      <c r="B353" s="17"/>
      <c r="C353" s="17"/>
      <c r="D353" s="8"/>
      <c r="E353" s="16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17"/>
      <c r="B354" s="17"/>
      <c r="C354" s="17"/>
      <c r="D354" s="8"/>
      <c r="E354" s="16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17"/>
      <c r="B355" s="17"/>
      <c r="C355" s="17"/>
      <c r="D355" s="8"/>
      <c r="E355" s="16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17"/>
      <c r="B356" s="17"/>
      <c r="C356" s="17"/>
      <c r="D356" s="8"/>
      <c r="E356" s="16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17"/>
      <c r="B357" s="17"/>
      <c r="C357" s="17"/>
      <c r="D357" s="8"/>
      <c r="E357" s="16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17"/>
      <c r="B358" s="17"/>
      <c r="C358" s="17"/>
      <c r="D358" s="8"/>
      <c r="E358" s="16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17"/>
      <c r="B359" s="17"/>
      <c r="C359" s="17"/>
      <c r="D359" s="8"/>
      <c r="E359" s="16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17"/>
      <c r="B360" s="17"/>
      <c r="C360" s="17"/>
      <c r="D360" s="8"/>
      <c r="E360" s="16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17"/>
      <c r="B361" s="17"/>
      <c r="C361" s="17"/>
      <c r="D361" s="8"/>
      <c r="E361" s="16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17"/>
      <c r="B362" s="17"/>
      <c r="C362" s="17"/>
      <c r="D362" s="8"/>
      <c r="E362" s="16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17"/>
      <c r="B363" s="17"/>
      <c r="C363" s="17"/>
      <c r="D363" s="8"/>
      <c r="E363" s="16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17"/>
      <c r="B364" s="17"/>
      <c r="C364" s="17"/>
      <c r="D364" s="8"/>
      <c r="E364" s="16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17"/>
      <c r="B365" s="17"/>
      <c r="C365" s="17"/>
      <c r="D365" s="8"/>
      <c r="E365" s="16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17"/>
      <c r="B366" s="17"/>
      <c r="C366" s="17"/>
      <c r="D366" s="8"/>
      <c r="E366" s="16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17"/>
      <c r="B367" s="17"/>
      <c r="C367" s="17"/>
      <c r="D367" s="8"/>
      <c r="E367" s="16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17"/>
      <c r="B368" s="17"/>
      <c r="C368" s="17"/>
      <c r="D368" s="8"/>
      <c r="E368" s="16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17"/>
      <c r="B369" s="17"/>
      <c r="C369" s="17"/>
      <c r="D369" s="8"/>
      <c r="E369" s="16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17"/>
      <c r="B370" s="17"/>
      <c r="C370" s="17"/>
      <c r="D370" s="8"/>
      <c r="E370" s="16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17"/>
      <c r="B371" s="17"/>
      <c r="C371" s="17"/>
      <c r="D371" s="8"/>
      <c r="E371" s="16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17"/>
      <c r="B372" s="17"/>
      <c r="C372" s="17"/>
      <c r="D372" s="8"/>
      <c r="E372" s="16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17"/>
      <c r="B373" s="17"/>
      <c r="C373" s="17"/>
      <c r="D373" s="8"/>
      <c r="E373" s="16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17"/>
      <c r="B374" s="17"/>
      <c r="C374" s="17"/>
      <c r="D374" s="8"/>
      <c r="E374" s="16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17"/>
      <c r="B375" s="17"/>
      <c r="C375" s="17"/>
      <c r="D375" s="8"/>
      <c r="E375" s="16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17"/>
      <c r="B376" s="17"/>
      <c r="C376" s="17"/>
      <c r="D376" s="8"/>
      <c r="E376" s="16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17"/>
      <c r="B377" s="17"/>
      <c r="C377" s="17"/>
      <c r="D377" s="8"/>
      <c r="E377" s="16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17"/>
      <c r="B378" s="17"/>
      <c r="C378" s="17"/>
      <c r="D378" s="8"/>
      <c r="E378" s="16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17"/>
      <c r="B379" s="17"/>
      <c r="C379" s="17"/>
      <c r="D379" s="8"/>
      <c r="E379" s="16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17"/>
      <c r="B380" s="17"/>
      <c r="C380" s="17"/>
      <c r="D380" s="8"/>
      <c r="E380" s="16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17"/>
      <c r="B381" s="17"/>
      <c r="C381" s="17"/>
      <c r="D381" s="8"/>
      <c r="E381" s="16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17"/>
      <c r="B382" s="17"/>
      <c r="C382" s="17"/>
      <c r="D382" s="8"/>
      <c r="E382" s="16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17"/>
      <c r="B383" s="17"/>
      <c r="C383" s="17"/>
      <c r="D383" s="8"/>
      <c r="E383" s="16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17"/>
      <c r="B384" s="17"/>
      <c r="C384" s="17"/>
      <c r="D384" s="8"/>
      <c r="E384" s="16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17"/>
      <c r="B385" s="17"/>
      <c r="C385" s="17"/>
      <c r="D385" s="8"/>
      <c r="E385" s="16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17"/>
      <c r="B386" s="17"/>
      <c r="C386" s="17"/>
      <c r="D386" s="8"/>
      <c r="E386" s="16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17"/>
      <c r="B387" s="17"/>
      <c r="C387" s="17"/>
      <c r="D387" s="8"/>
      <c r="E387" s="16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17"/>
      <c r="B388" s="17"/>
      <c r="C388" s="17"/>
      <c r="D388" s="8"/>
      <c r="E388" s="16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17"/>
      <c r="B389" s="17"/>
      <c r="C389" s="17"/>
      <c r="D389" s="8"/>
      <c r="E389" s="16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17"/>
      <c r="B390" s="17"/>
      <c r="C390" s="17"/>
      <c r="D390" s="8"/>
      <c r="E390" s="16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17"/>
      <c r="B391" s="17"/>
      <c r="C391" s="17"/>
      <c r="D391" s="8"/>
      <c r="E391" s="16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17"/>
      <c r="B392" s="17"/>
      <c r="C392" s="17"/>
      <c r="D392" s="8"/>
      <c r="E392" s="16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17"/>
      <c r="B393" s="17"/>
      <c r="C393" s="17"/>
      <c r="D393" s="8"/>
      <c r="E393" s="16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17"/>
      <c r="B394" s="17"/>
      <c r="C394" s="17"/>
      <c r="D394" s="8"/>
      <c r="E394" s="16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17"/>
      <c r="B395" s="17"/>
      <c r="C395" s="17"/>
      <c r="D395" s="8"/>
      <c r="E395" s="16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17"/>
      <c r="B396" s="17"/>
      <c r="C396" s="17"/>
      <c r="D396" s="8"/>
      <c r="E396" s="16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17"/>
      <c r="B397" s="17"/>
      <c r="C397" s="17"/>
      <c r="D397" s="8"/>
      <c r="E397" s="16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17"/>
      <c r="B398" s="17"/>
      <c r="C398" s="17"/>
      <c r="D398" s="8"/>
      <c r="E398" s="16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17"/>
      <c r="B399" s="17"/>
      <c r="C399" s="17"/>
      <c r="D399" s="8"/>
      <c r="E399" s="16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17"/>
      <c r="B400" s="17"/>
      <c r="C400" s="17"/>
      <c r="D400" s="8"/>
      <c r="E400" s="16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17"/>
      <c r="B401" s="17"/>
      <c r="C401" s="17"/>
      <c r="D401" s="8"/>
      <c r="E401" s="16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17"/>
      <c r="B402" s="17"/>
      <c r="C402" s="17"/>
      <c r="D402" s="8"/>
      <c r="E402" s="16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17"/>
      <c r="B403" s="17"/>
      <c r="C403" s="17"/>
      <c r="D403" s="8"/>
      <c r="E403" s="16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17"/>
      <c r="B404" s="17"/>
      <c r="C404" s="17"/>
      <c r="D404" s="8"/>
      <c r="E404" s="16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17"/>
      <c r="B405" s="17"/>
      <c r="C405" s="17"/>
      <c r="D405" s="8"/>
      <c r="E405" s="16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17"/>
      <c r="B406" s="17"/>
      <c r="C406" s="17"/>
      <c r="D406" s="8"/>
      <c r="E406" s="16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17"/>
      <c r="B407" s="17"/>
      <c r="C407" s="17"/>
      <c r="D407" s="8"/>
      <c r="E407" s="16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17"/>
      <c r="B408" s="17"/>
      <c r="C408" s="17"/>
      <c r="D408" s="8"/>
      <c r="E408" s="16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17"/>
      <c r="B409" s="17"/>
      <c r="C409" s="17"/>
      <c r="D409" s="8"/>
      <c r="E409" s="16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17"/>
      <c r="B410" s="17"/>
      <c r="C410" s="17"/>
      <c r="D410" s="8"/>
      <c r="E410" s="16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17"/>
      <c r="B411" s="17"/>
      <c r="C411" s="17"/>
      <c r="D411" s="8"/>
      <c r="E411" s="16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17"/>
      <c r="B412" s="17"/>
      <c r="C412" s="17"/>
      <c r="D412" s="8"/>
      <c r="E412" s="16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17"/>
      <c r="B413" s="17"/>
      <c r="C413" s="17"/>
      <c r="D413" s="8"/>
      <c r="E413" s="16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17"/>
      <c r="B414" s="17"/>
      <c r="C414" s="17"/>
      <c r="D414" s="8"/>
      <c r="E414" s="16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17"/>
      <c r="B415" s="17"/>
      <c r="C415" s="17"/>
      <c r="D415" s="8"/>
      <c r="E415" s="16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17"/>
      <c r="B416" s="17"/>
      <c r="C416" s="17"/>
      <c r="D416" s="8"/>
      <c r="E416" s="16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17"/>
      <c r="B417" s="17"/>
      <c r="C417" s="17"/>
      <c r="D417" s="8"/>
      <c r="E417" s="16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17"/>
      <c r="B418" s="17"/>
      <c r="C418" s="17"/>
      <c r="D418" s="8"/>
      <c r="E418" s="16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17"/>
      <c r="B419" s="17"/>
      <c r="C419" s="17"/>
      <c r="D419" s="8"/>
      <c r="E419" s="16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17"/>
      <c r="B420" s="17"/>
      <c r="C420" s="17"/>
      <c r="D420" s="8"/>
      <c r="E420" s="16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7"/>
      <c r="B421" s="17"/>
      <c r="C421" s="17"/>
      <c r="D421" s="8"/>
      <c r="E421" s="16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17"/>
      <c r="B422" s="17"/>
      <c r="C422" s="17"/>
      <c r="D422" s="8"/>
      <c r="E422" s="16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17"/>
      <c r="B423" s="17"/>
      <c r="C423" s="17"/>
      <c r="D423" s="8"/>
      <c r="E423" s="16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17"/>
      <c r="B424" s="17"/>
      <c r="C424" s="17"/>
      <c r="D424" s="8"/>
      <c r="E424" s="16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17"/>
      <c r="B425" s="17"/>
      <c r="C425" s="17"/>
      <c r="D425" s="8"/>
      <c r="E425" s="16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17"/>
      <c r="B426" s="17"/>
      <c r="C426" s="17"/>
      <c r="D426" s="8"/>
      <c r="E426" s="16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17"/>
      <c r="B427" s="17"/>
      <c r="C427" s="17"/>
      <c r="D427" s="8"/>
      <c r="E427" s="16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17"/>
      <c r="B428" s="17"/>
      <c r="C428" s="17"/>
      <c r="D428" s="8"/>
      <c r="E428" s="16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17"/>
      <c r="B429" s="17"/>
      <c r="C429" s="17"/>
      <c r="D429" s="8"/>
      <c r="E429" s="16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17"/>
      <c r="B430" s="17"/>
      <c r="C430" s="17"/>
      <c r="D430" s="8"/>
      <c r="E430" s="16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17"/>
      <c r="B431" s="17"/>
      <c r="C431" s="17"/>
      <c r="D431" s="8"/>
      <c r="E431" s="16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17"/>
      <c r="B432" s="17"/>
      <c r="C432" s="17"/>
      <c r="D432" s="8"/>
      <c r="E432" s="16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17"/>
      <c r="B433" s="17"/>
      <c r="C433" s="17"/>
      <c r="D433" s="8"/>
      <c r="E433" s="16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17"/>
      <c r="B434" s="17"/>
      <c r="C434" s="17"/>
      <c r="D434" s="8"/>
      <c r="E434" s="16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17"/>
      <c r="B435" s="17"/>
      <c r="C435" s="17"/>
      <c r="D435" s="8"/>
      <c r="E435" s="16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17"/>
      <c r="B436" s="17"/>
      <c r="C436" s="17"/>
      <c r="D436" s="8"/>
      <c r="E436" s="16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17"/>
      <c r="B437" s="17"/>
      <c r="C437" s="17"/>
      <c r="D437" s="8"/>
      <c r="E437" s="16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17"/>
      <c r="B438" s="17"/>
      <c r="C438" s="17"/>
      <c r="D438" s="8"/>
      <c r="E438" s="16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17"/>
      <c r="B439" s="17"/>
      <c r="C439" s="17"/>
      <c r="D439" s="8"/>
      <c r="E439" s="16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17"/>
      <c r="B440" s="17"/>
      <c r="C440" s="17"/>
      <c r="D440" s="8"/>
      <c r="E440" s="16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17"/>
      <c r="B441" s="17"/>
      <c r="C441" s="17"/>
      <c r="D441" s="8"/>
      <c r="E441" s="16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17"/>
      <c r="B442" s="17"/>
      <c r="C442" s="17"/>
      <c r="D442" s="8"/>
      <c r="E442" s="16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17"/>
      <c r="B443" s="17"/>
      <c r="C443" s="17"/>
      <c r="D443" s="8"/>
      <c r="E443" s="16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17"/>
      <c r="B444" s="17"/>
      <c r="C444" s="17"/>
      <c r="D444" s="8"/>
      <c r="E444" s="16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17"/>
      <c r="B445" s="17"/>
      <c r="C445" s="17"/>
      <c r="D445" s="8"/>
      <c r="E445" s="16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17"/>
      <c r="B446" s="17"/>
      <c r="C446" s="17"/>
      <c r="D446" s="8"/>
      <c r="E446" s="16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17"/>
      <c r="B447" s="17"/>
      <c r="C447" s="17"/>
      <c r="D447" s="8"/>
      <c r="E447" s="16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17"/>
      <c r="B448" s="17"/>
      <c r="C448" s="17"/>
      <c r="D448" s="8"/>
      <c r="E448" s="16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17"/>
      <c r="B449" s="17"/>
      <c r="C449" s="17"/>
      <c r="D449" s="8"/>
      <c r="E449" s="16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17"/>
      <c r="B450" s="17"/>
      <c r="C450" s="17"/>
      <c r="D450" s="8"/>
      <c r="E450" s="16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17"/>
      <c r="B451" s="17"/>
      <c r="C451" s="17"/>
      <c r="D451" s="8"/>
      <c r="E451" s="16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17"/>
      <c r="B452" s="17"/>
      <c r="C452" s="17"/>
      <c r="D452" s="8"/>
      <c r="E452" s="16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17"/>
      <c r="B453" s="17"/>
      <c r="C453" s="17"/>
      <c r="D453" s="8"/>
      <c r="E453" s="16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17"/>
      <c r="B454" s="17"/>
      <c r="C454" s="17"/>
      <c r="D454" s="8"/>
      <c r="E454" s="16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17"/>
      <c r="B455" s="17"/>
      <c r="C455" s="17"/>
      <c r="D455" s="8"/>
      <c r="E455" s="16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17"/>
      <c r="B456" s="17"/>
      <c r="C456" s="17"/>
      <c r="D456" s="8"/>
      <c r="E456" s="16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17"/>
      <c r="B457" s="17"/>
      <c r="C457" s="17"/>
      <c r="D457" s="8"/>
      <c r="E457" s="16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17"/>
      <c r="B458" s="17"/>
      <c r="C458" s="17"/>
      <c r="D458" s="8"/>
      <c r="E458" s="16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17"/>
      <c r="B459" s="17"/>
      <c r="C459" s="17"/>
      <c r="D459" s="8"/>
      <c r="E459" s="16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17"/>
      <c r="B460" s="17"/>
      <c r="C460" s="17"/>
      <c r="D460" s="8"/>
      <c r="E460" s="16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17"/>
      <c r="B461" s="17"/>
      <c r="C461" s="17"/>
      <c r="D461" s="8"/>
      <c r="E461" s="16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17"/>
      <c r="B462" s="17"/>
      <c r="C462" s="17"/>
      <c r="D462" s="8"/>
      <c r="E462" s="16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17"/>
      <c r="B463" s="17"/>
      <c r="C463" s="17"/>
      <c r="D463" s="8"/>
      <c r="E463" s="16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17"/>
      <c r="B464" s="17"/>
      <c r="C464" s="17"/>
      <c r="D464" s="8"/>
      <c r="E464" s="16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17"/>
      <c r="B465" s="17"/>
      <c r="C465" s="17"/>
      <c r="D465" s="8"/>
      <c r="E465" s="16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17"/>
      <c r="B466" s="17"/>
      <c r="C466" s="17"/>
      <c r="D466" s="8"/>
      <c r="E466" s="16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17"/>
      <c r="B467" s="17"/>
      <c r="C467" s="17"/>
      <c r="D467" s="8"/>
      <c r="E467" s="16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17"/>
      <c r="B468" s="17"/>
      <c r="C468" s="17"/>
      <c r="D468" s="8"/>
      <c r="E468" s="16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17"/>
      <c r="B469" s="17"/>
      <c r="C469" s="17"/>
      <c r="D469" s="8"/>
      <c r="E469" s="16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17"/>
      <c r="B470" s="17"/>
      <c r="C470" s="17"/>
      <c r="D470" s="8"/>
      <c r="E470" s="16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17"/>
      <c r="B471" s="17"/>
      <c r="C471" s="17"/>
      <c r="D471" s="8"/>
      <c r="E471" s="16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17"/>
      <c r="B472" s="17"/>
      <c r="C472" s="17"/>
      <c r="D472" s="8"/>
      <c r="E472" s="16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17"/>
      <c r="B473" s="17"/>
      <c r="C473" s="17"/>
      <c r="D473" s="8"/>
      <c r="E473" s="16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17"/>
      <c r="B474" s="17"/>
      <c r="C474" s="17"/>
      <c r="D474" s="8"/>
      <c r="E474" s="16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17"/>
      <c r="B475" s="17"/>
      <c r="C475" s="17"/>
      <c r="D475" s="8"/>
      <c r="E475" s="16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17"/>
      <c r="B476" s="17"/>
      <c r="C476" s="17"/>
      <c r="D476" s="8"/>
      <c r="E476" s="16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17"/>
      <c r="B477" s="17"/>
      <c r="C477" s="17"/>
      <c r="D477" s="8"/>
      <c r="E477" s="16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17"/>
      <c r="B478" s="17"/>
      <c r="C478" s="17"/>
      <c r="D478" s="8"/>
      <c r="E478" s="16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17"/>
      <c r="B479" s="17"/>
      <c r="C479" s="17"/>
      <c r="D479" s="8"/>
      <c r="E479" s="16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17"/>
      <c r="B480" s="17"/>
      <c r="C480" s="17"/>
      <c r="D480" s="8"/>
      <c r="E480" s="16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17"/>
      <c r="B481" s="17"/>
      <c r="C481" s="17"/>
      <c r="D481" s="8"/>
      <c r="E481" s="16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17"/>
      <c r="B482" s="17"/>
      <c r="C482" s="17"/>
      <c r="D482" s="8"/>
      <c r="E482" s="16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17"/>
      <c r="B483" s="17"/>
      <c r="C483" s="17"/>
      <c r="D483" s="8"/>
      <c r="E483" s="16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17"/>
      <c r="B484" s="17"/>
      <c r="C484" s="17"/>
      <c r="D484" s="8"/>
      <c r="E484" s="16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17"/>
      <c r="B485" s="17"/>
      <c r="C485" s="17"/>
      <c r="D485" s="8"/>
      <c r="E485" s="16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17"/>
      <c r="B486" s="17"/>
      <c r="C486" s="17"/>
      <c r="D486" s="8"/>
      <c r="E486" s="16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17"/>
      <c r="B487" s="17"/>
      <c r="C487" s="17"/>
      <c r="D487" s="8"/>
      <c r="E487" s="16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17"/>
      <c r="B488" s="17"/>
      <c r="C488" s="17"/>
      <c r="D488" s="8"/>
      <c r="E488" s="16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17"/>
      <c r="B489" s="17"/>
      <c r="C489" s="17"/>
      <c r="D489" s="8"/>
      <c r="E489" s="16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17"/>
      <c r="B490" s="17"/>
      <c r="C490" s="17"/>
      <c r="D490" s="8"/>
      <c r="E490" s="16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17"/>
      <c r="B491" s="17"/>
      <c r="C491" s="17"/>
      <c r="D491" s="8"/>
      <c r="E491" s="16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17"/>
      <c r="B492" s="17"/>
      <c r="C492" s="17"/>
      <c r="D492" s="8"/>
      <c r="E492" s="16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17"/>
      <c r="B493" s="17"/>
      <c r="C493" s="17"/>
      <c r="D493" s="8"/>
      <c r="E493" s="16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17"/>
      <c r="B494" s="17"/>
      <c r="C494" s="17"/>
      <c r="D494" s="8"/>
      <c r="E494" s="16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17"/>
      <c r="B495" s="17"/>
      <c r="C495" s="17"/>
      <c r="D495" s="8"/>
      <c r="E495" s="16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17"/>
      <c r="B496" s="17"/>
      <c r="C496" s="17"/>
      <c r="D496" s="8"/>
      <c r="E496" s="16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17"/>
      <c r="B497" s="17"/>
      <c r="C497" s="17"/>
      <c r="D497" s="8"/>
      <c r="E497" s="16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17"/>
      <c r="B498" s="17"/>
      <c r="C498" s="17"/>
      <c r="D498" s="8"/>
      <c r="E498" s="16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17"/>
      <c r="B499" s="17"/>
      <c r="C499" s="17"/>
      <c r="D499" s="8"/>
      <c r="E499" s="16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17"/>
      <c r="B500" s="17"/>
      <c r="C500" s="17"/>
      <c r="D500" s="8"/>
      <c r="E500" s="16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17"/>
      <c r="B501" s="17"/>
      <c r="C501" s="17"/>
      <c r="D501" s="8"/>
      <c r="E501" s="16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17"/>
      <c r="B502" s="17"/>
      <c r="C502" s="17"/>
      <c r="D502" s="8"/>
      <c r="E502" s="16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17"/>
      <c r="B503" s="17"/>
      <c r="C503" s="17"/>
      <c r="D503" s="8"/>
      <c r="E503" s="16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17"/>
      <c r="B504" s="17"/>
      <c r="C504" s="17"/>
      <c r="D504" s="8"/>
      <c r="E504" s="16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17"/>
      <c r="B505" s="17"/>
      <c r="C505" s="17"/>
      <c r="D505" s="8"/>
      <c r="E505" s="16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17"/>
      <c r="B506" s="17"/>
      <c r="C506" s="17"/>
      <c r="D506" s="8"/>
      <c r="E506" s="16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17"/>
      <c r="B507" s="17"/>
      <c r="C507" s="17"/>
      <c r="D507" s="8"/>
      <c r="E507" s="16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17"/>
      <c r="B508" s="17"/>
      <c r="C508" s="17"/>
      <c r="D508" s="8"/>
      <c r="E508" s="16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17"/>
      <c r="B509" s="17"/>
      <c r="C509" s="17"/>
      <c r="D509" s="8"/>
      <c r="E509" s="16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17"/>
      <c r="B510" s="17"/>
      <c r="C510" s="17"/>
      <c r="D510" s="8"/>
      <c r="E510" s="16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17"/>
      <c r="B511" s="17"/>
      <c r="C511" s="17"/>
      <c r="D511" s="8"/>
      <c r="E511" s="16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17"/>
      <c r="B512" s="17"/>
      <c r="C512" s="17"/>
      <c r="D512" s="8"/>
      <c r="E512" s="16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17"/>
      <c r="B513" s="17"/>
      <c r="C513" s="17"/>
      <c r="D513" s="8"/>
      <c r="E513" s="16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17"/>
      <c r="B514" s="17"/>
      <c r="C514" s="17"/>
      <c r="D514" s="8"/>
      <c r="E514" s="16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17"/>
      <c r="B515" s="17"/>
      <c r="C515" s="17"/>
      <c r="D515" s="8"/>
      <c r="E515" s="16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17"/>
      <c r="B516" s="17"/>
      <c r="C516" s="17"/>
      <c r="D516" s="8"/>
      <c r="E516" s="16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17"/>
      <c r="B517" s="17"/>
      <c r="C517" s="17"/>
      <c r="D517" s="8"/>
      <c r="E517" s="16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17"/>
      <c r="B518" s="17"/>
      <c r="C518" s="17"/>
      <c r="D518" s="8"/>
      <c r="E518" s="16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17"/>
      <c r="B519" s="17"/>
      <c r="C519" s="17"/>
      <c r="D519" s="8"/>
      <c r="E519" s="16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17"/>
      <c r="B520" s="17"/>
      <c r="C520" s="17"/>
      <c r="D520" s="8"/>
      <c r="E520" s="16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7"/>
      <c r="B521" s="17"/>
      <c r="C521" s="17"/>
      <c r="D521" s="8"/>
      <c r="E521" s="16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17"/>
      <c r="B522" s="17"/>
      <c r="C522" s="17"/>
      <c r="D522" s="8"/>
      <c r="E522" s="16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17"/>
      <c r="B523" s="17"/>
      <c r="C523" s="17"/>
      <c r="D523" s="8"/>
      <c r="E523" s="16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17"/>
      <c r="B524" s="17"/>
      <c r="C524" s="17"/>
      <c r="D524" s="8"/>
      <c r="E524" s="16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17"/>
      <c r="B525" s="17"/>
      <c r="C525" s="17"/>
      <c r="D525" s="8"/>
      <c r="E525" s="16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17"/>
      <c r="B526" s="17"/>
      <c r="C526" s="17"/>
      <c r="D526" s="8"/>
      <c r="E526" s="16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17"/>
      <c r="B527" s="17"/>
      <c r="C527" s="17"/>
      <c r="D527" s="8"/>
      <c r="E527" s="16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17"/>
      <c r="B528" s="17"/>
      <c r="C528" s="17"/>
      <c r="D528" s="8"/>
      <c r="E528" s="16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17"/>
      <c r="B529" s="17"/>
      <c r="C529" s="17"/>
      <c r="D529" s="8"/>
      <c r="E529" s="16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17"/>
      <c r="B530" s="17"/>
      <c r="C530" s="17"/>
      <c r="D530" s="8"/>
      <c r="E530" s="16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17"/>
      <c r="B531" s="17"/>
      <c r="C531" s="17"/>
      <c r="D531" s="8"/>
      <c r="E531" s="16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17"/>
      <c r="B532" s="17"/>
      <c r="C532" s="17"/>
      <c r="D532" s="8"/>
      <c r="E532" s="16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17"/>
      <c r="B533" s="17"/>
      <c r="C533" s="17"/>
      <c r="D533" s="8"/>
      <c r="E533" s="16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17"/>
      <c r="B534" s="17"/>
      <c r="C534" s="17"/>
      <c r="D534" s="8"/>
      <c r="E534" s="16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17"/>
      <c r="B535" s="17"/>
      <c r="C535" s="17"/>
      <c r="D535" s="8"/>
      <c r="E535" s="16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17"/>
      <c r="B536" s="17"/>
      <c r="C536" s="17"/>
      <c r="D536" s="8"/>
      <c r="E536" s="16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17"/>
      <c r="B537" s="17"/>
      <c r="C537" s="17"/>
      <c r="D537" s="8"/>
      <c r="E537" s="16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17"/>
      <c r="B538" s="17"/>
      <c r="C538" s="17"/>
      <c r="D538" s="8"/>
      <c r="E538" s="16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17"/>
      <c r="B539" s="17"/>
      <c r="C539" s="17"/>
      <c r="D539" s="8"/>
      <c r="E539" s="16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17"/>
      <c r="B540" s="17"/>
      <c r="C540" s="17"/>
      <c r="D540" s="8"/>
      <c r="E540" s="16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17"/>
      <c r="B541" s="17"/>
      <c r="C541" s="17"/>
      <c r="D541" s="8"/>
      <c r="E541" s="16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17"/>
      <c r="B542" s="17"/>
      <c r="C542" s="17"/>
      <c r="D542" s="8"/>
      <c r="E542" s="16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17"/>
      <c r="B543" s="17"/>
      <c r="C543" s="17"/>
      <c r="D543" s="8"/>
      <c r="E543" s="16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17"/>
      <c r="B544" s="17"/>
      <c r="C544" s="17"/>
      <c r="D544" s="8"/>
      <c r="E544" s="16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17"/>
      <c r="B545" s="17"/>
      <c r="C545" s="17"/>
      <c r="D545" s="8"/>
      <c r="E545" s="16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17"/>
      <c r="B546" s="17"/>
      <c r="C546" s="17"/>
      <c r="D546" s="8"/>
      <c r="E546" s="16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17"/>
      <c r="B547" s="17"/>
      <c r="C547" s="17"/>
      <c r="D547" s="8"/>
      <c r="E547" s="16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17"/>
      <c r="B548" s="17"/>
      <c r="C548" s="17"/>
      <c r="D548" s="8"/>
      <c r="E548" s="16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17"/>
      <c r="B549" s="17"/>
      <c r="C549" s="17"/>
      <c r="D549" s="8"/>
      <c r="E549" s="16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17"/>
      <c r="B550" s="17"/>
      <c r="C550" s="17"/>
      <c r="D550" s="8"/>
      <c r="E550" s="16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17"/>
      <c r="B551" s="17"/>
      <c r="C551" s="17"/>
      <c r="D551" s="8"/>
      <c r="E551" s="16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17"/>
      <c r="B552" s="17"/>
      <c r="C552" s="17"/>
      <c r="D552" s="8"/>
      <c r="E552" s="16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17"/>
      <c r="B553" s="17"/>
      <c r="C553" s="17"/>
      <c r="D553" s="8"/>
      <c r="E553" s="16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17"/>
      <c r="B554" s="17"/>
      <c r="C554" s="17"/>
      <c r="D554" s="8"/>
      <c r="E554" s="16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17"/>
      <c r="B555" s="17"/>
      <c r="C555" s="17"/>
      <c r="D555" s="8"/>
      <c r="E555" s="16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17"/>
      <c r="B556" s="17"/>
      <c r="C556" s="17"/>
      <c r="D556" s="8"/>
      <c r="E556" s="16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17"/>
      <c r="B557" s="17"/>
      <c r="C557" s="17"/>
      <c r="D557" s="8"/>
      <c r="E557" s="16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17"/>
      <c r="B558" s="17"/>
      <c r="C558" s="17"/>
      <c r="D558" s="8"/>
      <c r="E558" s="16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17"/>
      <c r="B559" s="17"/>
      <c r="C559" s="17"/>
      <c r="D559" s="8"/>
      <c r="E559" s="16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17"/>
      <c r="B560" s="17"/>
      <c r="C560" s="17"/>
      <c r="D560" s="8"/>
      <c r="E560" s="16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17"/>
      <c r="B561" s="17"/>
      <c r="C561" s="17"/>
      <c r="D561" s="8"/>
      <c r="E561" s="16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17"/>
      <c r="B562" s="17"/>
      <c r="C562" s="17"/>
      <c r="D562" s="8"/>
      <c r="E562" s="16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17"/>
      <c r="B563" s="17"/>
      <c r="C563" s="17"/>
      <c r="D563" s="8"/>
      <c r="E563" s="16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17"/>
      <c r="B564" s="17"/>
      <c r="C564" s="17"/>
      <c r="D564" s="8"/>
      <c r="E564" s="16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17"/>
      <c r="B565" s="17"/>
      <c r="C565" s="17"/>
      <c r="D565" s="8"/>
      <c r="E565" s="16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17"/>
      <c r="B566" s="17"/>
      <c r="C566" s="17"/>
      <c r="D566" s="8"/>
      <c r="E566" s="16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17"/>
      <c r="B567" s="17"/>
      <c r="C567" s="17"/>
      <c r="D567" s="8"/>
      <c r="E567" s="16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17"/>
      <c r="B568" s="17"/>
      <c r="C568" s="17"/>
      <c r="D568" s="8"/>
      <c r="E568" s="16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17"/>
      <c r="B569" s="17"/>
      <c r="C569" s="17"/>
      <c r="D569" s="8"/>
      <c r="E569" s="16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17"/>
      <c r="B570" s="17"/>
      <c r="C570" s="17"/>
      <c r="D570" s="8"/>
      <c r="E570" s="16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17"/>
      <c r="B571" s="17"/>
      <c r="C571" s="17"/>
      <c r="D571" s="8"/>
      <c r="E571" s="16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17"/>
      <c r="B572" s="17"/>
      <c r="C572" s="17"/>
      <c r="D572" s="8"/>
      <c r="E572" s="16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17"/>
      <c r="B573" s="17"/>
      <c r="C573" s="17"/>
      <c r="D573" s="8"/>
      <c r="E573" s="16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17"/>
      <c r="B574" s="17"/>
      <c r="C574" s="17"/>
      <c r="D574" s="8"/>
      <c r="E574" s="16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17"/>
      <c r="B575" s="17"/>
      <c r="C575" s="17"/>
      <c r="D575" s="8"/>
      <c r="E575" s="16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17"/>
      <c r="B576" s="17"/>
      <c r="C576" s="17"/>
      <c r="D576" s="8"/>
      <c r="E576" s="16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17"/>
      <c r="B577" s="17"/>
      <c r="C577" s="17"/>
      <c r="D577" s="8"/>
      <c r="E577" s="16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17"/>
      <c r="B578" s="17"/>
      <c r="C578" s="17"/>
      <c r="D578" s="8"/>
      <c r="E578" s="16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17"/>
      <c r="B579" s="17"/>
      <c r="C579" s="17"/>
      <c r="D579" s="8"/>
      <c r="E579" s="16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17"/>
      <c r="B580" s="17"/>
      <c r="C580" s="17"/>
      <c r="D580" s="8"/>
      <c r="E580" s="16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17"/>
      <c r="B581" s="17"/>
      <c r="C581" s="17"/>
      <c r="D581" s="8"/>
      <c r="E581" s="16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17"/>
      <c r="B582" s="17"/>
      <c r="C582" s="17"/>
      <c r="D582" s="8"/>
      <c r="E582" s="16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17"/>
      <c r="B583" s="17"/>
      <c r="C583" s="17"/>
      <c r="D583" s="8"/>
      <c r="E583" s="16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17"/>
      <c r="B584" s="17"/>
      <c r="C584" s="17"/>
      <c r="D584" s="8"/>
      <c r="E584" s="16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17"/>
      <c r="B585" s="17"/>
      <c r="C585" s="17"/>
      <c r="D585" s="8"/>
      <c r="E585" s="16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17"/>
      <c r="B586" s="17"/>
      <c r="C586" s="17"/>
      <c r="D586" s="8"/>
      <c r="E586" s="16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17"/>
      <c r="B587" s="17"/>
      <c r="C587" s="17"/>
      <c r="D587" s="8"/>
      <c r="E587" s="16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17"/>
      <c r="B588" s="17"/>
      <c r="C588" s="17"/>
      <c r="D588" s="8"/>
      <c r="E588" s="16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17"/>
      <c r="B589" s="17"/>
      <c r="C589" s="17"/>
      <c r="D589" s="8"/>
      <c r="E589" s="16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17"/>
      <c r="B590" s="17"/>
      <c r="C590" s="17"/>
      <c r="D590" s="8"/>
      <c r="E590" s="16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17"/>
      <c r="B591" s="17"/>
      <c r="C591" s="17"/>
      <c r="D591" s="8"/>
      <c r="E591" s="16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17"/>
      <c r="B592" s="17"/>
      <c r="C592" s="17"/>
      <c r="D592" s="8"/>
      <c r="E592" s="16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17"/>
      <c r="B593" s="17"/>
      <c r="C593" s="17"/>
      <c r="D593" s="8"/>
      <c r="E593" s="16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17"/>
      <c r="B594" s="17"/>
      <c r="C594" s="17"/>
      <c r="D594" s="8"/>
      <c r="E594" s="16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17"/>
      <c r="B595" s="17"/>
      <c r="C595" s="17"/>
      <c r="D595" s="8"/>
      <c r="E595" s="16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17"/>
      <c r="B596" s="17"/>
      <c r="C596" s="17"/>
      <c r="D596" s="8"/>
      <c r="E596" s="16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17"/>
      <c r="B597" s="17"/>
      <c r="C597" s="17"/>
      <c r="D597" s="8"/>
      <c r="E597" s="16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17"/>
      <c r="B598" s="17"/>
      <c r="C598" s="17"/>
      <c r="D598" s="8"/>
      <c r="E598" s="16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17"/>
      <c r="B599" s="17"/>
      <c r="C599" s="17"/>
      <c r="D599" s="8"/>
      <c r="E599" s="16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17"/>
      <c r="B600" s="17"/>
      <c r="C600" s="17"/>
      <c r="D600" s="8"/>
      <c r="E600" s="16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17"/>
      <c r="B601" s="17"/>
      <c r="C601" s="17"/>
      <c r="D601" s="8"/>
      <c r="E601" s="16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17"/>
      <c r="B602" s="17"/>
      <c r="C602" s="17"/>
      <c r="D602" s="8"/>
      <c r="E602" s="16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17"/>
      <c r="B603" s="17"/>
      <c r="C603" s="17"/>
      <c r="D603" s="8"/>
      <c r="E603" s="16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17"/>
      <c r="B604" s="17"/>
      <c r="C604" s="17"/>
      <c r="D604" s="8"/>
      <c r="E604" s="16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17"/>
      <c r="B605" s="17"/>
      <c r="C605" s="17"/>
      <c r="D605" s="8"/>
      <c r="E605" s="16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17"/>
      <c r="B606" s="17"/>
      <c r="C606" s="17"/>
      <c r="D606" s="8"/>
      <c r="E606" s="16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17"/>
      <c r="B607" s="17"/>
      <c r="C607" s="17"/>
      <c r="D607" s="8"/>
      <c r="E607" s="16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17"/>
      <c r="B608" s="17"/>
      <c r="C608" s="17"/>
      <c r="D608" s="8"/>
      <c r="E608" s="16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17"/>
      <c r="B609" s="17"/>
      <c r="C609" s="17"/>
      <c r="D609" s="8"/>
      <c r="E609" s="16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17"/>
      <c r="B610" s="17"/>
      <c r="C610" s="17"/>
      <c r="D610" s="8"/>
      <c r="E610" s="16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17"/>
      <c r="B611" s="17"/>
      <c r="C611" s="17"/>
      <c r="D611" s="8"/>
      <c r="E611" s="16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17"/>
      <c r="B612" s="17"/>
      <c r="C612" s="17"/>
      <c r="D612" s="8"/>
      <c r="E612" s="16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17"/>
      <c r="B613" s="17"/>
      <c r="C613" s="17"/>
      <c r="D613" s="8"/>
      <c r="E613" s="16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17"/>
      <c r="B614" s="17"/>
      <c r="C614" s="17"/>
      <c r="D614" s="8"/>
      <c r="E614" s="16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17"/>
      <c r="B615" s="17"/>
      <c r="C615" s="17"/>
      <c r="D615" s="8"/>
      <c r="E615" s="16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17"/>
      <c r="B616" s="17"/>
      <c r="C616" s="17"/>
      <c r="D616" s="8"/>
      <c r="E616" s="16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17"/>
      <c r="B617" s="17"/>
      <c r="C617" s="17"/>
      <c r="D617" s="8"/>
      <c r="E617" s="16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17"/>
      <c r="B618" s="17"/>
      <c r="C618" s="17"/>
      <c r="D618" s="8"/>
      <c r="E618" s="16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17"/>
      <c r="B619" s="17"/>
      <c r="C619" s="17"/>
      <c r="D619" s="8"/>
      <c r="E619" s="16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17"/>
      <c r="B620" s="17"/>
      <c r="C620" s="17"/>
      <c r="D620" s="8"/>
      <c r="E620" s="16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17"/>
      <c r="B621" s="17"/>
      <c r="C621" s="17"/>
      <c r="D621" s="8"/>
      <c r="E621" s="16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17"/>
      <c r="B622" s="17"/>
      <c r="C622" s="17"/>
      <c r="D622" s="8"/>
      <c r="E622" s="16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17"/>
      <c r="B623" s="17"/>
      <c r="C623" s="17"/>
      <c r="D623" s="8"/>
      <c r="E623" s="16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17"/>
      <c r="B624" s="17"/>
      <c r="C624" s="17"/>
      <c r="D624" s="8"/>
      <c r="E624" s="16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17"/>
      <c r="B625" s="17"/>
      <c r="C625" s="17"/>
      <c r="D625" s="8"/>
      <c r="E625" s="16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17"/>
      <c r="B626" s="17"/>
      <c r="C626" s="17"/>
      <c r="D626" s="8"/>
      <c r="E626" s="16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17"/>
      <c r="B627" s="17"/>
      <c r="C627" s="17"/>
      <c r="D627" s="8"/>
      <c r="E627" s="16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17"/>
      <c r="B628" s="17"/>
      <c r="C628" s="17"/>
      <c r="D628" s="8"/>
      <c r="E628" s="16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17"/>
      <c r="B629" s="17"/>
      <c r="C629" s="17"/>
      <c r="D629" s="8"/>
      <c r="E629" s="16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17"/>
      <c r="B630" s="17"/>
      <c r="C630" s="17"/>
      <c r="D630" s="8"/>
      <c r="E630" s="16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17"/>
      <c r="B631" s="17"/>
      <c r="C631" s="17"/>
      <c r="D631" s="8"/>
      <c r="E631" s="16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17"/>
      <c r="B632" s="17"/>
      <c r="C632" s="17"/>
      <c r="D632" s="8"/>
      <c r="E632" s="16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17"/>
      <c r="B633" s="17"/>
      <c r="C633" s="17"/>
      <c r="D633" s="8"/>
      <c r="E633" s="16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17"/>
      <c r="B634" s="17"/>
      <c r="C634" s="17"/>
      <c r="D634" s="8"/>
      <c r="E634" s="16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17"/>
      <c r="B635" s="17"/>
      <c r="C635" s="17"/>
      <c r="D635" s="8"/>
      <c r="E635" s="16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17"/>
      <c r="B636" s="17"/>
      <c r="C636" s="17"/>
      <c r="D636" s="8"/>
      <c r="E636" s="16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17"/>
      <c r="B637" s="17"/>
      <c r="C637" s="17"/>
      <c r="D637" s="8"/>
      <c r="E637" s="16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17"/>
      <c r="B638" s="17"/>
      <c r="C638" s="17"/>
      <c r="D638" s="8"/>
      <c r="E638" s="16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17"/>
      <c r="B639" s="17"/>
      <c r="C639" s="17"/>
      <c r="D639" s="8"/>
      <c r="E639" s="16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17"/>
      <c r="B640" s="17"/>
      <c r="C640" s="17"/>
      <c r="D640" s="8"/>
      <c r="E640" s="16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17"/>
      <c r="B641" s="17"/>
      <c r="C641" s="17"/>
      <c r="D641" s="8"/>
      <c r="E641" s="16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17"/>
      <c r="B642" s="17"/>
      <c r="C642" s="17"/>
      <c r="D642" s="8"/>
      <c r="E642" s="16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17"/>
      <c r="B643" s="17"/>
      <c r="C643" s="17"/>
      <c r="D643" s="8"/>
      <c r="E643" s="16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17"/>
      <c r="B644" s="17"/>
      <c r="C644" s="17"/>
      <c r="D644" s="8"/>
      <c r="E644" s="16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17"/>
      <c r="B645" s="17"/>
      <c r="C645" s="17"/>
      <c r="D645" s="8"/>
      <c r="E645" s="16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17"/>
      <c r="B646" s="17"/>
      <c r="C646" s="17"/>
      <c r="D646" s="8"/>
      <c r="E646" s="16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17"/>
      <c r="B647" s="17"/>
      <c r="C647" s="17"/>
      <c r="D647" s="8"/>
      <c r="E647" s="16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17"/>
      <c r="B648" s="17"/>
      <c r="C648" s="17"/>
      <c r="D648" s="8"/>
      <c r="E648" s="16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17"/>
      <c r="B649" s="17"/>
      <c r="C649" s="17"/>
      <c r="D649" s="8"/>
      <c r="E649" s="16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17"/>
      <c r="B650" s="17"/>
      <c r="C650" s="17"/>
      <c r="D650" s="8"/>
      <c r="E650" s="16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17"/>
      <c r="B651" s="17"/>
      <c r="C651" s="17"/>
      <c r="D651" s="8"/>
      <c r="E651" s="16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17"/>
      <c r="B652" s="17"/>
      <c r="C652" s="17"/>
      <c r="D652" s="8"/>
      <c r="E652" s="16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17"/>
      <c r="B653" s="17"/>
      <c r="C653" s="17"/>
      <c r="D653" s="8"/>
      <c r="E653" s="16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17"/>
      <c r="B654" s="17"/>
      <c r="C654" s="17"/>
      <c r="D654" s="8"/>
      <c r="E654" s="16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17"/>
      <c r="B655" s="17"/>
      <c r="C655" s="17"/>
      <c r="D655" s="8"/>
      <c r="E655" s="16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17"/>
      <c r="B656" s="17"/>
      <c r="C656" s="17"/>
      <c r="D656" s="8"/>
      <c r="E656" s="16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17"/>
      <c r="B657" s="17"/>
      <c r="C657" s="17"/>
      <c r="D657" s="8"/>
      <c r="E657" s="16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17"/>
      <c r="B658" s="17"/>
      <c r="C658" s="17"/>
      <c r="D658" s="8"/>
      <c r="E658" s="16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17"/>
      <c r="B659" s="17"/>
      <c r="C659" s="17"/>
      <c r="D659" s="8"/>
      <c r="E659" s="16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17"/>
      <c r="B660" s="17"/>
      <c r="C660" s="17"/>
      <c r="D660" s="8"/>
      <c r="E660" s="16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17"/>
      <c r="B661" s="17"/>
      <c r="C661" s="17"/>
      <c r="D661" s="8"/>
      <c r="E661" s="16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17"/>
      <c r="B662" s="17"/>
      <c r="C662" s="17"/>
      <c r="D662" s="8"/>
      <c r="E662" s="16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17"/>
      <c r="B663" s="17"/>
      <c r="C663" s="17"/>
      <c r="D663" s="8"/>
      <c r="E663" s="16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17"/>
      <c r="B664" s="17"/>
      <c r="C664" s="17"/>
      <c r="D664" s="8"/>
      <c r="E664" s="16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17"/>
      <c r="B665" s="17"/>
      <c r="C665" s="17"/>
      <c r="D665" s="8"/>
      <c r="E665" s="16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17"/>
      <c r="B666" s="17"/>
      <c r="C666" s="17"/>
      <c r="D666" s="8"/>
      <c r="E666" s="16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17"/>
      <c r="B667" s="17"/>
      <c r="C667" s="17"/>
      <c r="D667" s="8"/>
      <c r="E667" s="16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17"/>
      <c r="B668" s="17"/>
      <c r="C668" s="17"/>
      <c r="D668" s="8"/>
      <c r="E668" s="16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17"/>
      <c r="B669" s="17"/>
      <c r="C669" s="17"/>
      <c r="D669" s="8"/>
      <c r="E669" s="16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17"/>
      <c r="B670" s="17"/>
      <c r="C670" s="17"/>
      <c r="D670" s="8"/>
      <c r="E670" s="16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17"/>
      <c r="B671" s="17"/>
      <c r="C671" s="17"/>
      <c r="D671" s="8"/>
      <c r="E671" s="16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17"/>
      <c r="B672" s="17"/>
      <c r="C672" s="17"/>
      <c r="D672" s="8"/>
      <c r="E672" s="16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17"/>
      <c r="B673" s="17"/>
      <c r="C673" s="17"/>
      <c r="D673" s="8"/>
      <c r="E673" s="16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17"/>
      <c r="B674" s="17"/>
      <c r="C674" s="17"/>
      <c r="D674" s="8"/>
      <c r="E674" s="16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17"/>
      <c r="B675" s="17"/>
      <c r="C675" s="17"/>
      <c r="D675" s="8"/>
      <c r="E675" s="16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17"/>
      <c r="B676" s="17"/>
      <c r="C676" s="17"/>
      <c r="D676" s="8"/>
      <c r="E676" s="16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17"/>
      <c r="B677" s="17"/>
      <c r="C677" s="17"/>
      <c r="D677" s="8"/>
      <c r="E677" s="16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17"/>
      <c r="B678" s="17"/>
      <c r="C678" s="17"/>
      <c r="D678" s="8"/>
      <c r="E678" s="16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17"/>
      <c r="B679" s="17"/>
      <c r="C679" s="17"/>
      <c r="D679" s="8"/>
      <c r="E679" s="16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17"/>
      <c r="B680" s="17"/>
      <c r="C680" s="17"/>
      <c r="D680" s="8"/>
      <c r="E680" s="16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17"/>
      <c r="B681" s="17"/>
      <c r="C681" s="17"/>
      <c r="D681" s="8"/>
      <c r="E681" s="16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17"/>
      <c r="B682" s="17"/>
      <c r="C682" s="17"/>
      <c r="D682" s="8"/>
      <c r="E682" s="16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17"/>
      <c r="B683" s="17"/>
      <c r="C683" s="17"/>
      <c r="D683" s="8"/>
      <c r="E683" s="16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17"/>
      <c r="B684" s="17"/>
      <c r="C684" s="17"/>
      <c r="D684" s="8"/>
      <c r="E684" s="16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17"/>
      <c r="B685" s="17"/>
      <c r="C685" s="17"/>
      <c r="D685" s="8"/>
      <c r="E685" s="16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17"/>
      <c r="B686" s="17"/>
      <c r="C686" s="17"/>
      <c r="D686" s="8"/>
      <c r="E686" s="16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17"/>
      <c r="B687" s="17"/>
      <c r="C687" s="17"/>
      <c r="D687" s="8"/>
      <c r="E687" s="16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17"/>
      <c r="B688" s="17"/>
      <c r="C688" s="17"/>
      <c r="D688" s="8"/>
      <c r="E688" s="16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17"/>
      <c r="B689" s="17"/>
      <c r="C689" s="17"/>
      <c r="D689" s="8"/>
      <c r="E689" s="16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17"/>
      <c r="B690" s="17"/>
      <c r="C690" s="17"/>
      <c r="D690" s="8"/>
      <c r="E690" s="16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17"/>
      <c r="B691" s="17"/>
      <c r="C691" s="17"/>
      <c r="D691" s="8"/>
      <c r="E691" s="16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17"/>
      <c r="B692" s="17"/>
      <c r="C692" s="17"/>
      <c r="D692" s="8"/>
      <c r="E692" s="16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17"/>
      <c r="B693" s="17"/>
      <c r="C693" s="17"/>
      <c r="D693" s="8"/>
      <c r="E693" s="16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17"/>
      <c r="B694" s="17"/>
      <c r="C694" s="17"/>
      <c r="D694" s="8"/>
      <c r="E694" s="16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17"/>
      <c r="B695" s="17"/>
      <c r="C695" s="17"/>
      <c r="D695" s="8"/>
      <c r="E695" s="16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17"/>
      <c r="B696" s="17"/>
      <c r="C696" s="17"/>
      <c r="D696" s="8"/>
      <c r="E696" s="16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17"/>
      <c r="B697" s="17"/>
      <c r="C697" s="17"/>
      <c r="D697" s="8"/>
      <c r="E697" s="16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17"/>
      <c r="B698" s="17"/>
      <c r="C698" s="17"/>
      <c r="D698" s="8"/>
      <c r="E698" s="16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17"/>
      <c r="B699" s="17"/>
      <c r="C699" s="17"/>
      <c r="D699" s="8"/>
      <c r="E699" s="16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17"/>
      <c r="B700" s="17"/>
      <c r="C700" s="17"/>
      <c r="D700" s="8"/>
      <c r="E700" s="16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17"/>
      <c r="B701" s="17"/>
      <c r="C701" s="17"/>
      <c r="D701" s="8"/>
      <c r="E701" s="16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17"/>
      <c r="B702" s="17"/>
      <c r="C702" s="17"/>
      <c r="D702" s="8"/>
      <c r="E702" s="16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17"/>
      <c r="B703" s="17"/>
      <c r="C703" s="17"/>
      <c r="D703" s="8"/>
      <c r="E703" s="16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17"/>
      <c r="B704" s="17"/>
      <c r="C704" s="17"/>
      <c r="D704" s="8"/>
      <c r="E704" s="16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17"/>
      <c r="B705" s="17"/>
      <c r="C705" s="17"/>
      <c r="D705" s="8"/>
      <c r="E705" s="16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17"/>
      <c r="B706" s="17"/>
      <c r="C706" s="17"/>
      <c r="D706" s="8"/>
      <c r="E706" s="16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17"/>
      <c r="B707" s="17"/>
      <c r="C707" s="17"/>
      <c r="D707" s="8"/>
      <c r="E707" s="16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17"/>
      <c r="B708" s="17"/>
      <c r="C708" s="17"/>
      <c r="D708" s="8"/>
      <c r="E708" s="16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17"/>
      <c r="B709" s="17"/>
      <c r="C709" s="17"/>
      <c r="D709" s="8"/>
      <c r="E709" s="16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17"/>
      <c r="B710" s="17"/>
      <c r="C710" s="17"/>
      <c r="D710" s="8"/>
      <c r="E710" s="16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17"/>
      <c r="B711" s="17"/>
      <c r="C711" s="17"/>
      <c r="D711" s="8"/>
      <c r="E711" s="16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17"/>
      <c r="B712" s="17"/>
      <c r="C712" s="17"/>
      <c r="D712" s="8"/>
      <c r="E712" s="16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17"/>
      <c r="B713" s="17"/>
      <c r="C713" s="17"/>
      <c r="D713" s="8"/>
      <c r="E713" s="16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17"/>
      <c r="B714" s="17"/>
      <c r="C714" s="17"/>
      <c r="D714" s="8"/>
      <c r="E714" s="16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17"/>
      <c r="B715" s="17"/>
      <c r="C715" s="17"/>
      <c r="D715" s="8"/>
      <c r="E715" s="16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17"/>
      <c r="B716" s="17"/>
      <c r="C716" s="17"/>
      <c r="D716" s="8"/>
      <c r="E716" s="16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17"/>
      <c r="B717" s="17"/>
      <c r="C717" s="17"/>
      <c r="D717" s="8"/>
      <c r="E717" s="16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17"/>
      <c r="B718" s="17"/>
      <c r="C718" s="17"/>
      <c r="D718" s="8"/>
      <c r="E718" s="16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17"/>
      <c r="B719" s="17"/>
      <c r="C719" s="17"/>
      <c r="D719" s="8"/>
      <c r="E719" s="16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17"/>
      <c r="B720" s="17"/>
      <c r="C720" s="17"/>
      <c r="D720" s="8"/>
      <c r="E720" s="16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17"/>
      <c r="B721" s="17"/>
      <c r="C721" s="17"/>
      <c r="D721" s="8"/>
      <c r="E721" s="16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17"/>
      <c r="B722" s="17"/>
      <c r="C722" s="17"/>
      <c r="D722" s="8"/>
      <c r="E722" s="16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17"/>
      <c r="B723" s="17"/>
      <c r="C723" s="17"/>
      <c r="D723" s="8"/>
      <c r="E723" s="16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17"/>
      <c r="B724" s="17"/>
      <c r="C724" s="17"/>
      <c r="D724" s="8"/>
      <c r="E724" s="16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17"/>
      <c r="B725" s="17"/>
      <c r="C725" s="17"/>
      <c r="D725" s="8"/>
      <c r="E725" s="16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17"/>
      <c r="B726" s="17"/>
      <c r="C726" s="17"/>
      <c r="D726" s="8"/>
      <c r="E726" s="16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17"/>
      <c r="B727" s="17"/>
      <c r="C727" s="17"/>
      <c r="D727" s="8"/>
      <c r="E727" s="16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17"/>
      <c r="B728" s="17"/>
      <c r="C728" s="17"/>
      <c r="D728" s="8"/>
      <c r="E728" s="16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17"/>
      <c r="B729" s="17"/>
      <c r="C729" s="17"/>
      <c r="D729" s="8"/>
      <c r="E729" s="16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17"/>
      <c r="B730" s="17"/>
      <c r="C730" s="17"/>
      <c r="D730" s="8"/>
      <c r="E730" s="16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17"/>
      <c r="B731" s="17"/>
      <c r="C731" s="17"/>
      <c r="D731" s="8"/>
      <c r="E731" s="16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17"/>
      <c r="B732" s="17"/>
      <c r="C732" s="17"/>
      <c r="D732" s="8"/>
      <c r="E732" s="16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17"/>
      <c r="B733" s="17"/>
      <c r="C733" s="17"/>
      <c r="D733" s="8"/>
      <c r="E733" s="16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17"/>
      <c r="B734" s="17"/>
      <c r="C734" s="17"/>
      <c r="D734" s="8"/>
      <c r="E734" s="16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17"/>
      <c r="B735" s="17"/>
      <c r="C735" s="17"/>
      <c r="D735" s="8"/>
      <c r="E735" s="16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17"/>
      <c r="B736" s="17"/>
      <c r="C736" s="17"/>
      <c r="D736" s="8"/>
      <c r="E736" s="16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17"/>
      <c r="B737" s="17"/>
      <c r="C737" s="17"/>
      <c r="D737" s="8"/>
      <c r="E737" s="16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17"/>
      <c r="B738" s="17"/>
      <c r="C738" s="17"/>
      <c r="D738" s="8"/>
      <c r="E738" s="16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17"/>
      <c r="B739" s="17"/>
      <c r="C739" s="17"/>
      <c r="D739" s="8"/>
      <c r="E739" s="16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17"/>
      <c r="B740" s="17"/>
      <c r="C740" s="17"/>
      <c r="D740" s="8"/>
      <c r="E740" s="16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17"/>
      <c r="B741" s="17"/>
      <c r="C741" s="17"/>
      <c r="D741" s="8"/>
      <c r="E741" s="16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17"/>
      <c r="B742" s="17"/>
      <c r="C742" s="17"/>
      <c r="D742" s="8"/>
      <c r="E742" s="16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17"/>
      <c r="B743" s="17"/>
      <c r="C743" s="17"/>
      <c r="D743" s="8"/>
      <c r="E743" s="16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17"/>
      <c r="B744" s="17"/>
      <c r="C744" s="17"/>
      <c r="D744" s="8"/>
      <c r="E744" s="16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17"/>
      <c r="B745" s="17"/>
      <c r="C745" s="17"/>
      <c r="D745" s="8"/>
      <c r="E745" s="16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17"/>
      <c r="B746" s="17"/>
      <c r="C746" s="17"/>
      <c r="D746" s="8"/>
      <c r="E746" s="16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17"/>
      <c r="B747" s="17"/>
      <c r="C747" s="17"/>
      <c r="D747" s="8"/>
      <c r="E747" s="16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17"/>
      <c r="B748" s="17"/>
      <c r="C748" s="17"/>
      <c r="D748" s="8"/>
      <c r="E748" s="16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17"/>
      <c r="B749" s="17"/>
      <c r="C749" s="17"/>
      <c r="D749" s="8"/>
      <c r="E749" s="16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17"/>
      <c r="B750" s="17"/>
      <c r="C750" s="17"/>
      <c r="D750" s="8"/>
      <c r="E750" s="16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17"/>
      <c r="B751" s="17"/>
      <c r="C751" s="17"/>
      <c r="D751" s="8"/>
      <c r="E751" s="16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17"/>
      <c r="B752" s="17"/>
      <c r="C752" s="17"/>
      <c r="D752" s="8"/>
      <c r="E752" s="16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17"/>
      <c r="B753" s="17"/>
      <c r="C753" s="17"/>
      <c r="D753" s="8"/>
      <c r="E753" s="16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17"/>
      <c r="B754" s="17"/>
      <c r="C754" s="17"/>
      <c r="D754" s="8"/>
      <c r="E754" s="16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17"/>
      <c r="B755" s="17"/>
      <c r="C755" s="17"/>
      <c r="D755" s="8"/>
      <c r="E755" s="16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17"/>
      <c r="B756" s="17"/>
      <c r="C756" s="17"/>
      <c r="D756" s="8"/>
      <c r="E756" s="16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17"/>
      <c r="B757" s="17"/>
      <c r="C757" s="17"/>
      <c r="D757" s="8"/>
      <c r="E757" s="16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17"/>
      <c r="B758" s="17"/>
      <c r="C758" s="17"/>
      <c r="D758" s="8"/>
      <c r="E758" s="16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17"/>
      <c r="B759" s="17"/>
      <c r="C759" s="17"/>
      <c r="D759" s="8"/>
      <c r="E759" s="16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17"/>
      <c r="B760" s="17"/>
      <c r="C760" s="17"/>
      <c r="D760" s="8"/>
      <c r="E760" s="16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17"/>
      <c r="B761" s="17"/>
      <c r="C761" s="17"/>
      <c r="D761" s="8"/>
      <c r="E761" s="16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17"/>
      <c r="B762" s="17"/>
      <c r="C762" s="17"/>
      <c r="D762" s="8"/>
      <c r="E762" s="16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17"/>
      <c r="B763" s="17"/>
      <c r="C763" s="17"/>
      <c r="D763" s="8"/>
      <c r="E763" s="16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17"/>
      <c r="B764" s="17"/>
      <c r="C764" s="17"/>
      <c r="D764" s="8"/>
      <c r="E764" s="16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17"/>
      <c r="B765" s="17"/>
      <c r="C765" s="17"/>
      <c r="D765" s="8"/>
      <c r="E765" s="16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17"/>
      <c r="B766" s="17"/>
      <c r="C766" s="17"/>
      <c r="D766" s="8"/>
      <c r="E766" s="16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17"/>
      <c r="B767" s="17"/>
      <c r="C767" s="17"/>
      <c r="D767" s="8"/>
      <c r="E767" s="16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17"/>
      <c r="B768" s="17"/>
      <c r="C768" s="17"/>
      <c r="D768" s="8"/>
      <c r="E768" s="16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17"/>
      <c r="B769" s="17"/>
      <c r="C769" s="17"/>
      <c r="D769" s="8"/>
      <c r="E769" s="16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17"/>
      <c r="B770" s="17"/>
      <c r="C770" s="17"/>
      <c r="D770" s="8"/>
      <c r="E770" s="16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17"/>
      <c r="B771" s="17"/>
      <c r="C771" s="17"/>
      <c r="D771" s="8"/>
      <c r="E771" s="16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17"/>
      <c r="B772" s="17"/>
      <c r="C772" s="17"/>
      <c r="D772" s="8"/>
      <c r="E772" s="16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17"/>
      <c r="B773" s="17"/>
      <c r="C773" s="17"/>
      <c r="D773" s="8"/>
      <c r="E773" s="16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17"/>
      <c r="B774" s="17"/>
      <c r="C774" s="17"/>
      <c r="D774" s="8"/>
      <c r="E774" s="16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17"/>
      <c r="B775" s="17"/>
      <c r="C775" s="17"/>
      <c r="D775" s="8"/>
      <c r="E775" s="16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17"/>
      <c r="B776" s="17"/>
      <c r="C776" s="17"/>
      <c r="D776" s="8"/>
      <c r="E776" s="16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17"/>
      <c r="B777" s="17"/>
      <c r="C777" s="17"/>
      <c r="D777" s="8"/>
      <c r="E777" s="16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17"/>
      <c r="B778" s="17"/>
      <c r="C778" s="17"/>
      <c r="D778" s="8"/>
      <c r="E778" s="16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17"/>
      <c r="B779" s="17"/>
      <c r="C779" s="17"/>
      <c r="D779" s="8"/>
      <c r="E779" s="16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17"/>
      <c r="B780" s="17"/>
      <c r="C780" s="17"/>
      <c r="D780" s="8"/>
      <c r="E780" s="16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17"/>
      <c r="B781" s="17"/>
      <c r="C781" s="17"/>
      <c r="D781" s="8"/>
      <c r="E781" s="16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17"/>
      <c r="B782" s="17"/>
      <c r="C782" s="17"/>
      <c r="D782" s="8"/>
      <c r="E782" s="16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17"/>
      <c r="B783" s="17"/>
      <c r="C783" s="17"/>
      <c r="D783" s="8"/>
      <c r="E783" s="16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17"/>
      <c r="B784" s="17"/>
      <c r="C784" s="17"/>
      <c r="D784" s="8"/>
      <c r="E784" s="16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17"/>
      <c r="B785" s="17"/>
      <c r="C785" s="17"/>
      <c r="D785" s="8"/>
      <c r="E785" s="16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17"/>
      <c r="B786" s="17"/>
      <c r="C786" s="17"/>
      <c r="D786" s="8"/>
      <c r="E786" s="16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17"/>
      <c r="B787" s="17"/>
      <c r="C787" s="17"/>
      <c r="D787" s="8"/>
      <c r="E787" s="16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17"/>
      <c r="B788" s="17"/>
      <c r="C788" s="17"/>
      <c r="D788" s="8"/>
      <c r="E788" s="16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17"/>
      <c r="B789" s="17"/>
      <c r="C789" s="17"/>
      <c r="D789" s="8"/>
      <c r="E789" s="16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17"/>
      <c r="B790" s="17"/>
      <c r="C790" s="17"/>
      <c r="D790" s="8"/>
      <c r="E790" s="16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17"/>
      <c r="B791" s="17"/>
      <c r="C791" s="17"/>
      <c r="D791" s="8"/>
      <c r="E791" s="16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17"/>
      <c r="B792" s="17"/>
      <c r="C792" s="17"/>
      <c r="D792" s="8"/>
      <c r="E792" s="16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17"/>
      <c r="B793" s="17"/>
      <c r="C793" s="17"/>
      <c r="D793" s="8"/>
      <c r="E793" s="16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17"/>
      <c r="B794" s="17"/>
      <c r="C794" s="17"/>
      <c r="D794" s="8"/>
      <c r="E794" s="16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17"/>
      <c r="B795" s="17"/>
      <c r="C795" s="17"/>
      <c r="D795" s="8"/>
      <c r="E795" s="16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17"/>
      <c r="B796" s="17"/>
      <c r="C796" s="17"/>
      <c r="D796" s="8"/>
      <c r="E796" s="16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17"/>
      <c r="B797" s="17"/>
      <c r="C797" s="17"/>
      <c r="D797" s="8"/>
      <c r="E797" s="16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17"/>
      <c r="B798" s="17"/>
      <c r="C798" s="17"/>
      <c r="D798" s="8"/>
      <c r="E798" s="16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17"/>
      <c r="B799" s="17"/>
      <c r="C799" s="17"/>
      <c r="D799" s="8"/>
      <c r="E799" s="16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17"/>
      <c r="B800" s="17"/>
      <c r="C800" s="17"/>
      <c r="D800" s="8"/>
      <c r="E800" s="16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17"/>
      <c r="B801" s="17"/>
      <c r="C801" s="17"/>
      <c r="D801" s="8"/>
      <c r="E801" s="16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17"/>
      <c r="B802" s="17"/>
      <c r="C802" s="17"/>
      <c r="D802" s="8"/>
      <c r="E802" s="16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17"/>
      <c r="B803" s="17"/>
      <c r="C803" s="17"/>
      <c r="D803" s="8"/>
      <c r="E803" s="16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17"/>
      <c r="B804" s="17"/>
      <c r="C804" s="17"/>
      <c r="D804" s="8"/>
      <c r="E804" s="16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17"/>
      <c r="B805" s="17"/>
      <c r="C805" s="17"/>
      <c r="D805" s="8"/>
      <c r="E805" s="16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17"/>
      <c r="B806" s="17"/>
      <c r="C806" s="17"/>
      <c r="D806" s="8"/>
      <c r="E806" s="16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17"/>
      <c r="B807" s="17"/>
      <c r="C807" s="17"/>
      <c r="D807" s="8"/>
      <c r="E807" s="16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17"/>
      <c r="B808" s="17"/>
      <c r="C808" s="17"/>
      <c r="D808" s="8"/>
      <c r="E808" s="16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17"/>
      <c r="B809" s="17"/>
      <c r="C809" s="17"/>
      <c r="D809" s="8"/>
      <c r="E809" s="16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17"/>
      <c r="B810" s="17"/>
      <c r="C810" s="17"/>
      <c r="D810" s="8"/>
      <c r="E810" s="16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17"/>
      <c r="B811" s="17"/>
      <c r="C811" s="17"/>
      <c r="D811" s="8"/>
      <c r="E811" s="16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17"/>
      <c r="B812" s="17"/>
      <c r="C812" s="17"/>
      <c r="D812" s="8"/>
      <c r="E812" s="16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17"/>
      <c r="B813" s="17"/>
      <c r="C813" s="17"/>
      <c r="D813" s="8"/>
      <c r="E813" s="16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17"/>
      <c r="B814" s="17"/>
      <c r="C814" s="17"/>
      <c r="D814" s="8"/>
      <c r="E814" s="16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17"/>
      <c r="B815" s="17"/>
      <c r="C815" s="17"/>
      <c r="D815" s="8"/>
      <c r="E815" s="16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17"/>
      <c r="B816" s="17"/>
      <c r="C816" s="17"/>
      <c r="D816" s="8"/>
      <c r="E816" s="16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17"/>
      <c r="B817" s="17"/>
      <c r="C817" s="17"/>
      <c r="D817" s="8"/>
      <c r="E817" s="16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17"/>
      <c r="B818" s="17"/>
      <c r="C818" s="17"/>
      <c r="D818" s="8"/>
      <c r="E818" s="16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17"/>
      <c r="B819" s="17"/>
      <c r="C819" s="17"/>
      <c r="D819" s="8"/>
      <c r="E819" s="16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17"/>
      <c r="B820" s="17"/>
      <c r="C820" s="17"/>
      <c r="D820" s="8"/>
      <c r="E820" s="16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17"/>
      <c r="B821" s="17"/>
      <c r="C821" s="17"/>
      <c r="D821" s="8"/>
      <c r="E821" s="16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17"/>
      <c r="B822" s="17"/>
      <c r="C822" s="17"/>
      <c r="D822" s="8"/>
      <c r="E822" s="16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17"/>
      <c r="B823" s="17"/>
      <c r="C823" s="17"/>
      <c r="D823" s="8"/>
      <c r="E823" s="16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17"/>
      <c r="B824" s="17"/>
      <c r="C824" s="17"/>
      <c r="D824" s="8"/>
      <c r="E824" s="16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17"/>
      <c r="B825" s="17"/>
      <c r="C825" s="17"/>
      <c r="D825" s="8"/>
      <c r="E825" s="16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17"/>
      <c r="B826" s="17"/>
      <c r="C826" s="17"/>
      <c r="D826" s="8"/>
      <c r="E826" s="16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17"/>
      <c r="B827" s="17"/>
      <c r="C827" s="17"/>
      <c r="D827" s="8"/>
      <c r="E827" s="16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17"/>
      <c r="B828" s="17"/>
      <c r="C828" s="17"/>
      <c r="D828" s="8"/>
      <c r="E828" s="16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17"/>
      <c r="B829" s="17"/>
      <c r="C829" s="17"/>
      <c r="D829" s="8"/>
      <c r="E829" s="16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17"/>
      <c r="B830" s="17"/>
      <c r="C830" s="17"/>
      <c r="D830" s="8"/>
      <c r="E830" s="16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17"/>
      <c r="B831" s="17"/>
      <c r="C831" s="17"/>
      <c r="D831" s="8"/>
      <c r="E831" s="16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17"/>
      <c r="B832" s="17"/>
      <c r="C832" s="17"/>
      <c r="D832" s="8"/>
      <c r="E832" s="16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17"/>
      <c r="B833" s="17"/>
      <c r="C833" s="17"/>
      <c r="D833" s="8"/>
      <c r="E833" s="16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17"/>
      <c r="B834" s="17"/>
      <c r="C834" s="17"/>
      <c r="D834" s="8"/>
      <c r="E834" s="16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17"/>
      <c r="B835" s="17"/>
      <c r="C835" s="17"/>
      <c r="D835" s="8"/>
      <c r="E835" s="16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17"/>
      <c r="B836" s="17"/>
      <c r="C836" s="17"/>
      <c r="D836" s="8"/>
      <c r="E836" s="16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17"/>
      <c r="B837" s="17"/>
      <c r="C837" s="17"/>
      <c r="D837" s="8"/>
      <c r="E837" s="16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17"/>
      <c r="B838" s="17"/>
      <c r="C838" s="17"/>
      <c r="D838" s="8"/>
      <c r="E838" s="16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17"/>
      <c r="B839" s="17"/>
      <c r="C839" s="17"/>
      <c r="D839" s="8"/>
      <c r="E839" s="16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17"/>
      <c r="B840" s="17"/>
      <c r="C840" s="17"/>
      <c r="D840" s="8"/>
      <c r="E840" s="16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17"/>
      <c r="B841" s="17"/>
      <c r="C841" s="17"/>
      <c r="D841" s="8"/>
      <c r="E841" s="16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17"/>
      <c r="B842" s="17"/>
      <c r="C842" s="17"/>
      <c r="D842" s="8"/>
      <c r="E842" s="16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17"/>
      <c r="B843" s="17"/>
      <c r="C843" s="17"/>
      <c r="D843" s="8"/>
      <c r="E843" s="16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17"/>
      <c r="B844" s="17"/>
      <c r="C844" s="17"/>
      <c r="D844" s="8"/>
      <c r="E844" s="16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17"/>
      <c r="B845" s="17"/>
      <c r="C845" s="17"/>
      <c r="D845" s="8"/>
      <c r="E845" s="16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17"/>
      <c r="B846" s="17"/>
      <c r="C846" s="17"/>
      <c r="D846" s="8"/>
      <c r="E846" s="16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17"/>
      <c r="B847" s="17"/>
      <c r="C847" s="17"/>
      <c r="D847" s="8"/>
      <c r="E847" s="16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17"/>
      <c r="B848" s="17"/>
      <c r="C848" s="17"/>
      <c r="D848" s="8"/>
      <c r="E848" s="16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17"/>
      <c r="B849" s="17"/>
      <c r="C849" s="17"/>
      <c r="D849" s="8"/>
      <c r="E849" s="16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17"/>
      <c r="B850" s="17"/>
      <c r="C850" s="17"/>
      <c r="D850" s="8"/>
      <c r="E850" s="16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17"/>
      <c r="B851" s="17"/>
      <c r="C851" s="17"/>
      <c r="D851" s="8"/>
      <c r="E851" s="16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17"/>
      <c r="B852" s="17"/>
      <c r="C852" s="17"/>
      <c r="D852" s="8"/>
      <c r="E852" s="16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17"/>
      <c r="B853" s="17"/>
      <c r="C853" s="17"/>
      <c r="D853" s="8"/>
      <c r="E853" s="16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17"/>
      <c r="B854" s="17"/>
      <c r="C854" s="17"/>
      <c r="D854" s="8"/>
      <c r="E854" s="16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17"/>
      <c r="B855" s="17"/>
      <c r="C855" s="17"/>
      <c r="D855" s="8"/>
      <c r="E855" s="16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17"/>
      <c r="B856" s="17"/>
      <c r="C856" s="17"/>
      <c r="D856" s="8"/>
      <c r="E856" s="16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17"/>
      <c r="B857" s="17"/>
      <c r="C857" s="17"/>
      <c r="D857" s="8"/>
      <c r="E857" s="16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17"/>
      <c r="B858" s="17"/>
      <c r="C858" s="17"/>
      <c r="D858" s="8"/>
      <c r="E858" s="16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17"/>
      <c r="B859" s="17"/>
      <c r="C859" s="17"/>
      <c r="D859" s="8"/>
      <c r="E859" s="16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17"/>
      <c r="B860" s="17"/>
      <c r="C860" s="17"/>
      <c r="D860" s="8"/>
      <c r="E860" s="16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17"/>
      <c r="B861" s="17"/>
      <c r="C861" s="17"/>
      <c r="D861" s="8"/>
      <c r="E861" s="16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17"/>
      <c r="B862" s="17"/>
      <c r="C862" s="17"/>
      <c r="D862" s="8"/>
      <c r="E862" s="16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17"/>
      <c r="B863" s="17"/>
      <c r="C863" s="17"/>
      <c r="D863" s="8"/>
      <c r="E863" s="16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17"/>
      <c r="B864" s="17"/>
      <c r="C864" s="17"/>
      <c r="D864" s="8"/>
      <c r="E864" s="16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17"/>
      <c r="B865" s="17"/>
      <c r="C865" s="17"/>
      <c r="D865" s="8"/>
      <c r="E865" s="16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17"/>
      <c r="B866" s="17"/>
      <c r="C866" s="17"/>
      <c r="D866" s="8"/>
      <c r="E866" s="16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17"/>
      <c r="B867" s="17"/>
      <c r="C867" s="17"/>
      <c r="D867" s="8"/>
      <c r="E867" s="16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17"/>
      <c r="B868" s="17"/>
      <c r="C868" s="17"/>
      <c r="D868" s="8"/>
      <c r="E868" s="16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17"/>
      <c r="B869" s="17"/>
      <c r="C869" s="17"/>
      <c r="D869" s="8"/>
      <c r="E869" s="16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17"/>
      <c r="B870" s="17"/>
      <c r="C870" s="17"/>
      <c r="D870" s="8"/>
      <c r="E870" s="16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17"/>
      <c r="B871" s="17"/>
      <c r="C871" s="17"/>
      <c r="D871" s="8"/>
      <c r="E871" s="16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17"/>
      <c r="B872" s="17"/>
      <c r="C872" s="17"/>
      <c r="D872" s="8"/>
      <c r="E872" s="16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17"/>
      <c r="B873" s="17"/>
      <c r="C873" s="17"/>
      <c r="D873" s="8"/>
      <c r="E873" s="16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17"/>
      <c r="B874" s="17"/>
      <c r="C874" s="17"/>
      <c r="D874" s="8"/>
      <c r="E874" s="16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17"/>
      <c r="B875" s="17"/>
      <c r="C875" s="17"/>
      <c r="D875" s="8"/>
      <c r="E875" s="16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17"/>
      <c r="B876" s="17"/>
      <c r="C876" s="17"/>
      <c r="D876" s="8"/>
      <c r="E876" s="16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17"/>
      <c r="B877" s="17"/>
      <c r="C877" s="17"/>
      <c r="D877" s="8"/>
      <c r="E877" s="16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17"/>
      <c r="B878" s="17"/>
      <c r="C878" s="17"/>
      <c r="D878" s="8"/>
      <c r="E878" s="16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17"/>
      <c r="B879" s="17"/>
      <c r="C879" s="17"/>
      <c r="D879" s="8"/>
      <c r="E879" s="16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17"/>
      <c r="B880" s="17"/>
      <c r="C880" s="17"/>
      <c r="D880" s="8"/>
      <c r="E880" s="16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17"/>
      <c r="B881" s="17"/>
      <c r="C881" s="17"/>
      <c r="D881" s="8"/>
      <c r="E881" s="16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17"/>
      <c r="B882" s="17"/>
      <c r="C882" s="17"/>
      <c r="D882" s="8"/>
      <c r="E882" s="16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17"/>
      <c r="B883" s="17"/>
      <c r="C883" s="17"/>
      <c r="D883" s="8"/>
      <c r="E883" s="16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17"/>
      <c r="B884" s="17"/>
      <c r="C884" s="17"/>
      <c r="D884" s="8"/>
      <c r="E884" s="16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17"/>
      <c r="B885" s="17"/>
      <c r="C885" s="17"/>
      <c r="D885" s="8"/>
      <c r="E885" s="16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17"/>
      <c r="B886" s="17"/>
      <c r="C886" s="17"/>
      <c r="D886" s="8"/>
      <c r="E886" s="16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17"/>
      <c r="B887" s="17"/>
      <c r="C887" s="17"/>
      <c r="D887" s="8"/>
      <c r="E887" s="16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17"/>
      <c r="B888" s="17"/>
      <c r="C888" s="17"/>
      <c r="D888" s="8"/>
      <c r="E888" s="16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17"/>
      <c r="B889" s="17"/>
      <c r="C889" s="17"/>
      <c r="D889" s="8"/>
      <c r="E889" s="16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17"/>
      <c r="B890" s="17"/>
      <c r="C890" s="17"/>
      <c r="D890" s="8"/>
      <c r="E890" s="16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17"/>
      <c r="B891" s="17"/>
      <c r="C891" s="17"/>
      <c r="D891" s="8"/>
      <c r="E891" s="16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17"/>
      <c r="B892" s="17"/>
      <c r="C892" s="17"/>
      <c r="D892" s="8"/>
      <c r="E892" s="16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17"/>
      <c r="B893" s="17"/>
      <c r="C893" s="17"/>
      <c r="D893" s="8"/>
      <c r="E893" s="16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17"/>
      <c r="B894" s="17"/>
      <c r="C894" s="17"/>
      <c r="D894" s="8"/>
      <c r="E894" s="16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17"/>
      <c r="B895" s="17"/>
      <c r="C895" s="17"/>
      <c r="D895" s="8"/>
      <c r="E895" s="16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17"/>
      <c r="B896" s="17"/>
      <c r="C896" s="17"/>
      <c r="D896" s="8"/>
      <c r="E896" s="16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17"/>
      <c r="B897" s="17"/>
      <c r="C897" s="17"/>
      <c r="D897" s="8"/>
      <c r="E897" s="16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17"/>
      <c r="B898" s="17"/>
      <c r="C898" s="17"/>
      <c r="D898" s="8"/>
      <c r="E898" s="16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17"/>
      <c r="B899" s="17"/>
      <c r="C899" s="17"/>
      <c r="D899" s="8"/>
      <c r="E899" s="16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17"/>
      <c r="B900" s="17"/>
      <c r="C900" s="17"/>
      <c r="D900" s="8"/>
      <c r="E900" s="16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17"/>
      <c r="B901" s="17"/>
      <c r="C901" s="17"/>
      <c r="D901" s="8"/>
      <c r="E901" s="16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17"/>
      <c r="B902" s="17"/>
      <c r="C902" s="17"/>
      <c r="D902" s="8"/>
      <c r="E902" s="16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17"/>
      <c r="B903" s="17"/>
      <c r="C903" s="17"/>
      <c r="D903" s="8"/>
      <c r="E903" s="16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17"/>
      <c r="B904" s="17"/>
      <c r="C904" s="17"/>
      <c r="D904" s="8"/>
      <c r="E904" s="16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17"/>
      <c r="B905" s="17"/>
      <c r="C905" s="17"/>
      <c r="D905" s="8"/>
      <c r="E905" s="16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17"/>
      <c r="B906" s="17"/>
      <c r="C906" s="17"/>
      <c r="D906" s="8"/>
      <c r="E906" s="16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17"/>
      <c r="B907" s="17"/>
      <c r="C907" s="17"/>
      <c r="D907" s="8"/>
      <c r="E907" s="16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17"/>
      <c r="B908" s="17"/>
      <c r="C908" s="17"/>
      <c r="D908" s="8"/>
      <c r="E908" s="16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17"/>
      <c r="B909" s="17"/>
      <c r="C909" s="17"/>
      <c r="D909" s="8"/>
      <c r="E909" s="16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17"/>
      <c r="B910" s="17"/>
      <c r="C910" s="17"/>
      <c r="D910" s="8"/>
      <c r="E910" s="16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17"/>
      <c r="B911" s="17"/>
      <c r="C911" s="17"/>
      <c r="D911" s="8"/>
      <c r="E911" s="16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17"/>
      <c r="B912" s="17"/>
      <c r="C912" s="17"/>
      <c r="D912" s="8"/>
      <c r="E912" s="16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17"/>
      <c r="B913" s="17"/>
      <c r="C913" s="17"/>
      <c r="D913" s="8"/>
      <c r="E913" s="16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17"/>
      <c r="B914" s="17"/>
      <c r="C914" s="17"/>
      <c r="D914" s="8"/>
      <c r="E914" s="16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17"/>
      <c r="B915" s="17"/>
      <c r="C915" s="17"/>
      <c r="D915" s="8"/>
      <c r="E915" s="16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17"/>
      <c r="B916" s="17"/>
      <c r="C916" s="17"/>
      <c r="D916" s="8"/>
      <c r="E916" s="16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17"/>
      <c r="B917" s="17"/>
      <c r="C917" s="17"/>
      <c r="D917" s="8"/>
      <c r="E917" s="16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17"/>
      <c r="B918" s="17"/>
      <c r="C918" s="17"/>
      <c r="D918" s="8"/>
      <c r="E918" s="16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17"/>
      <c r="B919" s="17"/>
      <c r="C919" s="17"/>
      <c r="D919" s="8"/>
      <c r="E919" s="16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17"/>
      <c r="B920" s="17"/>
      <c r="C920" s="17"/>
      <c r="D920" s="8"/>
      <c r="E920" s="16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17"/>
      <c r="B921" s="17"/>
      <c r="C921" s="17"/>
      <c r="D921" s="8"/>
      <c r="E921" s="16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17"/>
      <c r="B922" s="17"/>
      <c r="C922" s="17"/>
      <c r="D922" s="8"/>
      <c r="E922" s="16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17"/>
      <c r="B923" s="17"/>
      <c r="C923" s="17"/>
      <c r="D923" s="8"/>
      <c r="E923" s="16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17"/>
      <c r="B924" s="17"/>
      <c r="C924" s="17"/>
      <c r="D924" s="8"/>
      <c r="E924" s="16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17"/>
      <c r="B925" s="17"/>
      <c r="C925" s="17"/>
      <c r="D925" s="8"/>
      <c r="E925" s="16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17"/>
      <c r="B926" s="17"/>
      <c r="C926" s="17"/>
      <c r="D926" s="8"/>
      <c r="E926" s="16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17"/>
      <c r="B927" s="17"/>
      <c r="C927" s="17"/>
      <c r="D927" s="8"/>
      <c r="E927" s="16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17"/>
      <c r="B928" s="17"/>
      <c r="C928" s="17"/>
      <c r="D928" s="8"/>
      <c r="E928" s="16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17"/>
      <c r="B929" s="17"/>
      <c r="C929" s="17"/>
      <c r="D929" s="8"/>
      <c r="E929" s="16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17"/>
      <c r="B930" s="17"/>
      <c r="C930" s="17"/>
      <c r="D930" s="8"/>
      <c r="E930" s="16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17"/>
      <c r="B931" s="17"/>
      <c r="C931" s="17"/>
      <c r="D931" s="8"/>
      <c r="E931" s="16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17"/>
      <c r="B932" s="17"/>
      <c r="C932" s="17"/>
      <c r="D932" s="8"/>
      <c r="E932" s="16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17"/>
      <c r="B933" s="17"/>
      <c r="C933" s="17"/>
      <c r="D933" s="8"/>
      <c r="E933" s="16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17"/>
      <c r="B934" s="17"/>
      <c r="C934" s="17"/>
      <c r="D934" s="8"/>
      <c r="E934" s="16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17"/>
      <c r="B935" s="17"/>
      <c r="C935" s="17"/>
      <c r="D935" s="8"/>
      <c r="E935" s="16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17"/>
      <c r="B936" s="17"/>
      <c r="C936" s="17"/>
      <c r="D936" s="8"/>
      <c r="E936" s="16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17"/>
      <c r="B937" s="17"/>
      <c r="C937" s="17"/>
      <c r="D937" s="8"/>
      <c r="E937" s="16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17"/>
      <c r="B938" s="17"/>
      <c r="C938" s="17"/>
      <c r="D938" s="8"/>
      <c r="E938" s="16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17"/>
      <c r="B939" s="17"/>
      <c r="C939" s="17"/>
      <c r="D939" s="8"/>
      <c r="E939" s="16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17"/>
      <c r="B940" s="17"/>
      <c r="C940" s="17"/>
      <c r="D940" s="8"/>
      <c r="E940" s="16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17"/>
      <c r="B941" s="17"/>
      <c r="C941" s="17"/>
      <c r="D941" s="8"/>
      <c r="E941" s="16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17"/>
      <c r="B942" s="17"/>
      <c r="C942" s="17"/>
      <c r="D942" s="8"/>
      <c r="E942" s="16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17"/>
      <c r="B943" s="17"/>
      <c r="C943" s="17"/>
      <c r="D943" s="8"/>
      <c r="E943" s="16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17"/>
      <c r="B944" s="17"/>
      <c r="C944" s="17"/>
      <c r="D944" s="8"/>
      <c r="E944" s="16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17"/>
      <c r="B945" s="17"/>
      <c r="C945" s="17"/>
      <c r="D945" s="8"/>
      <c r="E945" s="16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17"/>
      <c r="B946" s="17"/>
      <c r="C946" s="17"/>
      <c r="D946" s="8"/>
      <c r="E946" s="16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17"/>
      <c r="B947" s="17"/>
      <c r="C947" s="17"/>
      <c r="D947" s="8"/>
      <c r="E947" s="16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17"/>
      <c r="B948" s="17"/>
      <c r="C948" s="17"/>
      <c r="D948" s="8"/>
      <c r="E948" s="16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17"/>
      <c r="B949" s="17"/>
      <c r="C949" s="17"/>
      <c r="D949" s="8"/>
      <c r="E949" s="16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17"/>
      <c r="B950" s="17"/>
      <c r="C950" s="17"/>
      <c r="D950" s="8"/>
      <c r="E950" s="16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17"/>
      <c r="B951" s="17"/>
      <c r="C951" s="17"/>
      <c r="D951" s="8"/>
      <c r="E951" s="16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17"/>
      <c r="B952" s="17"/>
      <c r="C952" s="17"/>
      <c r="D952" s="8"/>
      <c r="E952" s="16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17"/>
      <c r="B953" s="17"/>
      <c r="C953" s="17"/>
      <c r="D953" s="8"/>
      <c r="E953" s="16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17"/>
      <c r="B954" s="17"/>
      <c r="C954" s="17"/>
      <c r="D954" s="8"/>
      <c r="E954" s="16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17"/>
      <c r="B955" s="17"/>
      <c r="C955" s="17"/>
      <c r="D955" s="8"/>
      <c r="E955" s="16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17"/>
      <c r="B956" s="17"/>
      <c r="C956" s="17"/>
      <c r="D956" s="8"/>
      <c r="E956" s="16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17"/>
      <c r="B957" s="17"/>
      <c r="C957" s="17"/>
      <c r="D957" s="8"/>
      <c r="E957" s="16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17"/>
      <c r="B958" s="17"/>
      <c r="C958" s="17"/>
      <c r="D958" s="8"/>
      <c r="E958" s="16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17"/>
      <c r="B959" s="17"/>
      <c r="C959" s="17"/>
      <c r="D959" s="8"/>
      <c r="E959" s="16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17"/>
      <c r="B960" s="17"/>
      <c r="C960" s="17"/>
      <c r="D960" s="8"/>
      <c r="E960" s="16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17"/>
      <c r="B961" s="17"/>
      <c r="C961" s="17"/>
      <c r="D961" s="8"/>
      <c r="E961" s="16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17"/>
      <c r="B962" s="17"/>
      <c r="C962" s="17"/>
      <c r="D962" s="8"/>
      <c r="E962" s="16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17"/>
      <c r="B963" s="17"/>
      <c r="C963" s="17"/>
      <c r="D963" s="8"/>
      <c r="E963" s="16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17"/>
      <c r="B964" s="17"/>
      <c r="C964" s="17"/>
      <c r="D964" s="8"/>
      <c r="E964" s="16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17"/>
      <c r="B965" s="17"/>
      <c r="C965" s="17"/>
      <c r="D965" s="8"/>
      <c r="E965" s="16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17"/>
      <c r="B966" s="17"/>
      <c r="C966" s="17"/>
      <c r="D966" s="8"/>
      <c r="E966" s="16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17"/>
      <c r="B967" s="17"/>
      <c r="C967" s="17"/>
      <c r="D967" s="8"/>
      <c r="E967" s="16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17"/>
      <c r="B968" s="17"/>
      <c r="C968" s="17"/>
      <c r="D968" s="8"/>
      <c r="E968" s="16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17"/>
      <c r="B969" s="17"/>
      <c r="C969" s="17"/>
      <c r="D969" s="8"/>
      <c r="E969" s="16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17"/>
      <c r="B970" s="17"/>
      <c r="C970" s="17"/>
      <c r="D970" s="8"/>
      <c r="E970" s="16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17"/>
      <c r="B971" s="17"/>
      <c r="C971" s="17"/>
      <c r="D971" s="8"/>
      <c r="E971" s="16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17"/>
      <c r="B972" s="17"/>
      <c r="C972" s="17"/>
      <c r="D972" s="8"/>
      <c r="E972" s="16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17"/>
      <c r="B973" s="17"/>
      <c r="C973" s="17"/>
      <c r="D973" s="8"/>
      <c r="E973" s="16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17"/>
      <c r="B974" s="17"/>
      <c r="C974" s="17"/>
      <c r="D974" s="8"/>
      <c r="E974" s="16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17"/>
      <c r="B975" s="17"/>
      <c r="C975" s="17"/>
      <c r="D975" s="8"/>
      <c r="E975" s="16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17"/>
      <c r="B976" s="17"/>
      <c r="C976" s="17"/>
      <c r="D976" s="8"/>
      <c r="E976" s="16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17"/>
      <c r="B977" s="17"/>
      <c r="C977" s="17"/>
      <c r="D977" s="8"/>
      <c r="E977" s="16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17"/>
      <c r="B978" s="17"/>
      <c r="C978" s="17"/>
      <c r="D978" s="8"/>
      <c r="E978" s="16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17"/>
      <c r="B979" s="17"/>
      <c r="C979" s="17"/>
      <c r="D979" s="8"/>
      <c r="E979" s="16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17"/>
      <c r="B980" s="17"/>
      <c r="C980" s="17"/>
      <c r="D980" s="8"/>
      <c r="E980" s="16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17"/>
      <c r="B981" s="17"/>
      <c r="C981" s="17"/>
      <c r="D981" s="8"/>
      <c r="E981" s="16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17"/>
      <c r="B982" s="17"/>
      <c r="C982" s="17"/>
      <c r="D982" s="8"/>
      <c r="E982" s="16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17"/>
      <c r="B983" s="17"/>
      <c r="C983" s="17"/>
      <c r="D983" s="8"/>
      <c r="E983" s="16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17"/>
      <c r="B984" s="17"/>
      <c r="C984" s="17"/>
      <c r="D984" s="8"/>
      <c r="E984" s="16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17"/>
      <c r="B985" s="17"/>
      <c r="C985" s="17"/>
      <c r="D985" s="8"/>
      <c r="E985" s="16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17"/>
      <c r="B986" s="17"/>
      <c r="C986" s="17"/>
      <c r="D986" s="8"/>
      <c r="E986" s="16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17"/>
      <c r="B987" s="17"/>
      <c r="C987" s="17"/>
      <c r="D987" s="8"/>
      <c r="E987" s="16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17"/>
      <c r="B988" s="17"/>
      <c r="C988" s="17"/>
      <c r="D988" s="8"/>
      <c r="E988" s="16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17"/>
      <c r="B989" s="17"/>
      <c r="C989" s="17"/>
      <c r="D989" s="8"/>
      <c r="E989" s="16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17"/>
      <c r="B990" s="17"/>
      <c r="C990" s="17"/>
      <c r="D990" s="8"/>
      <c r="E990" s="16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17"/>
      <c r="B991" s="17"/>
      <c r="C991" s="17"/>
      <c r="D991" s="8"/>
      <c r="E991" s="16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17"/>
      <c r="B992" s="17"/>
      <c r="C992" s="17"/>
      <c r="D992" s="8"/>
      <c r="E992" s="16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17"/>
      <c r="B993" s="17"/>
      <c r="C993" s="17"/>
      <c r="D993" s="8"/>
      <c r="E993" s="16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17"/>
      <c r="B994" s="17"/>
      <c r="C994" s="17"/>
      <c r="D994" s="8"/>
      <c r="E994" s="16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17"/>
      <c r="B995" s="17"/>
      <c r="C995" s="17"/>
      <c r="D995" s="8"/>
      <c r="E995" s="16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17"/>
      <c r="B996" s="17"/>
      <c r="C996" s="17"/>
      <c r="D996" s="8"/>
      <c r="E996" s="16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17"/>
      <c r="B997" s="17"/>
      <c r="C997" s="17"/>
      <c r="D997" s="8"/>
      <c r="E997" s="16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17"/>
      <c r="B998" s="17"/>
      <c r="C998" s="17"/>
      <c r="D998" s="8"/>
      <c r="E998" s="16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17"/>
      <c r="B999" s="17"/>
      <c r="C999" s="17"/>
      <c r="D999" s="8"/>
      <c r="E999" s="16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17"/>
      <c r="B1000" s="17"/>
      <c r="C1000" s="17"/>
      <c r="D1000" s="8"/>
      <c r="E1000" s="16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17"/>
      <c r="B1001" s="17"/>
      <c r="C1001" s="17"/>
      <c r="D1001" s="8"/>
      <c r="E1001" s="16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17"/>
      <c r="B1002" s="17"/>
      <c r="C1002" s="17"/>
      <c r="D1002" s="8"/>
      <c r="E1002" s="16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17"/>
      <c r="B1003" s="17"/>
      <c r="C1003" s="17"/>
      <c r="D1003" s="8"/>
      <c r="E1003" s="16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17"/>
      <c r="B1004" s="17"/>
      <c r="C1004" s="17"/>
      <c r="D1004" s="8"/>
      <c r="E1004" s="16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17"/>
      <c r="B1005" s="17"/>
      <c r="C1005" s="17"/>
      <c r="D1005" s="8"/>
      <c r="E1005" s="16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17"/>
      <c r="B1006" s="17"/>
      <c r="C1006" s="17"/>
      <c r="D1006" s="8"/>
      <c r="E1006" s="16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17"/>
      <c r="B1007" s="17"/>
      <c r="C1007" s="17"/>
      <c r="D1007" s="8"/>
      <c r="E1007" s="16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>
      <c r="A1008" s="17"/>
      <c r="B1008" s="17"/>
      <c r="C1008" s="17"/>
      <c r="D1008" s="8"/>
      <c r="E1008" s="16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>
      <c r="A1009" s="17"/>
      <c r="B1009" s="17"/>
      <c r="C1009" s="17"/>
      <c r="D1009" s="8"/>
      <c r="E1009" s="16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>
      <c r="A1010" s="17"/>
      <c r="B1010" s="17"/>
      <c r="C1010" s="17"/>
      <c r="D1010" s="8"/>
      <c r="E1010" s="16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>
      <c r="A1011" s="17"/>
      <c r="B1011" s="17"/>
      <c r="C1011" s="17"/>
      <c r="D1011" s="8"/>
      <c r="E1011" s="16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>
      <c r="A1012" s="17"/>
      <c r="B1012" s="17"/>
      <c r="C1012" s="17"/>
      <c r="D1012" s="8"/>
      <c r="E1012" s="16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>
      <c r="A1013" s="17"/>
      <c r="B1013" s="17"/>
      <c r="C1013" s="17"/>
      <c r="D1013" s="8"/>
      <c r="E1013" s="16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>
      <c r="A1014" s="17"/>
      <c r="B1014" s="17"/>
      <c r="C1014" s="17"/>
      <c r="D1014" s="8"/>
      <c r="E1014" s="16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>
      <c r="A1015" s="17"/>
      <c r="B1015" s="17"/>
      <c r="C1015" s="17"/>
      <c r="D1015" s="8"/>
      <c r="E1015" s="16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>
      <c r="A1016" s="17"/>
      <c r="B1016" s="17"/>
      <c r="C1016" s="17"/>
      <c r="D1016" s="8"/>
      <c r="E1016" s="16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>
      <c r="A1017" s="17"/>
      <c r="B1017" s="17"/>
      <c r="C1017" s="17"/>
      <c r="D1017" s="8"/>
      <c r="E1017" s="16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>
      <c r="A1018" s="17"/>
      <c r="B1018" s="17"/>
      <c r="C1018" s="17"/>
      <c r="D1018" s="8"/>
      <c r="E1018" s="16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>
      <c r="A1019" s="17"/>
      <c r="B1019" s="17"/>
      <c r="C1019" s="17"/>
      <c r="D1019" s="8"/>
      <c r="E1019" s="16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>
      <c r="A1020" s="17"/>
      <c r="B1020" s="17"/>
      <c r="C1020" s="17"/>
      <c r="D1020" s="8"/>
      <c r="E1020" s="16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>
      <c r="A1021" s="17"/>
      <c r="B1021" s="17"/>
      <c r="C1021" s="17"/>
      <c r="D1021" s="8"/>
      <c r="E1021" s="16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>
      <c r="A1022" s="17"/>
      <c r="B1022" s="17"/>
      <c r="C1022" s="17"/>
      <c r="D1022" s="8"/>
      <c r="E1022" s="16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>
      <c r="A1023" s="17"/>
      <c r="B1023" s="17"/>
      <c r="C1023" s="17"/>
      <c r="D1023" s="8"/>
      <c r="E1023" s="16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>
      <c r="A1024" s="17"/>
      <c r="B1024" s="17"/>
      <c r="C1024" s="17"/>
      <c r="D1024" s="8"/>
      <c r="E1024" s="16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>
      <c r="A1025" s="17"/>
      <c r="B1025" s="17"/>
      <c r="C1025" s="17"/>
      <c r="D1025" s="8"/>
      <c r="E1025" s="16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>
      <c r="A1026" s="17"/>
      <c r="B1026" s="17"/>
      <c r="C1026" s="17"/>
      <c r="D1026" s="8"/>
      <c r="E1026" s="16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>
      <c r="A1027" s="17"/>
      <c r="B1027" s="17"/>
      <c r="C1027" s="17"/>
      <c r="D1027" s="8"/>
      <c r="E1027" s="16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>
      <c r="A1028" s="17"/>
      <c r="B1028" s="17"/>
      <c r="C1028" s="17"/>
      <c r="D1028" s="8"/>
      <c r="E1028" s="16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>
      <c r="A1029" s="17"/>
      <c r="B1029" s="17"/>
      <c r="C1029" s="17"/>
      <c r="D1029" s="8"/>
      <c r="E1029" s="16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  <row r="1030">
      <c r="A1030" s="17"/>
      <c r="B1030" s="17"/>
      <c r="C1030" s="17"/>
      <c r="D1030" s="8"/>
      <c r="E1030" s="16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</row>
    <row r="1031">
      <c r="A1031" s="17"/>
      <c r="B1031" s="17"/>
      <c r="C1031" s="17"/>
      <c r="D1031" s="8"/>
      <c r="E1031" s="16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</row>
    <row r="1032">
      <c r="A1032" s="17"/>
      <c r="B1032" s="17"/>
      <c r="C1032" s="17"/>
      <c r="D1032" s="8"/>
      <c r="E1032" s="16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</row>
    <row r="1033">
      <c r="A1033" s="17"/>
      <c r="B1033" s="17"/>
      <c r="C1033" s="17"/>
      <c r="D1033" s="8"/>
      <c r="E1033" s="16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</row>
    <row r="1034">
      <c r="A1034" s="17"/>
      <c r="B1034" s="17"/>
      <c r="C1034" s="17"/>
      <c r="D1034" s="8"/>
      <c r="E1034" s="16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</row>
    <row r="1035">
      <c r="A1035" s="17"/>
      <c r="B1035" s="17"/>
      <c r="C1035" s="17"/>
      <c r="D1035" s="8"/>
      <c r="E1035" s="16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</row>
    <row r="1036">
      <c r="A1036" s="17"/>
      <c r="B1036" s="17"/>
      <c r="C1036" s="17"/>
      <c r="D1036" s="8"/>
      <c r="E1036" s="16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</row>
    <row r="1037">
      <c r="A1037" s="17"/>
      <c r="B1037" s="17"/>
      <c r="C1037" s="17"/>
      <c r="D1037" s="8"/>
      <c r="E1037" s="16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</row>
    <row r="1038">
      <c r="A1038" s="17"/>
      <c r="B1038" s="17"/>
      <c r="C1038" s="17"/>
      <c r="D1038" s="8"/>
      <c r="E1038" s="16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</row>
    <row r="1039">
      <c r="A1039" s="17"/>
      <c r="B1039" s="17"/>
      <c r="C1039" s="17"/>
      <c r="D1039" s="8"/>
      <c r="E1039" s="16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</row>
    <row r="1040">
      <c r="A1040" s="17"/>
      <c r="B1040" s="17"/>
      <c r="C1040" s="17"/>
      <c r="D1040" s="8"/>
      <c r="E1040" s="16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</row>
    <row r="1041">
      <c r="A1041" s="17"/>
      <c r="B1041" s="17"/>
      <c r="C1041" s="17"/>
      <c r="D1041" s="8"/>
      <c r="E1041" s="16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</row>
    <row r="1042">
      <c r="A1042" s="17"/>
      <c r="B1042" s="17"/>
      <c r="C1042" s="17"/>
      <c r="D1042" s="8"/>
      <c r="E1042" s="16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</row>
    <row r="1043">
      <c r="A1043" s="17"/>
      <c r="B1043" s="17"/>
      <c r="C1043" s="17"/>
      <c r="D1043" s="8"/>
      <c r="E1043" s="16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</row>
    <row r="1044">
      <c r="A1044" s="17"/>
      <c r="B1044" s="17"/>
      <c r="C1044" s="17"/>
      <c r="D1044" s="8"/>
      <c r="E1044" s="16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</row>
    <row r="1045">
      <c r="A1045" s="17"/>
      <c r="B1045" s="17"/>
      <c r="C1045" s="17"/>
      <c r="D1045" s="8"/>
      <c r="E1045" s="16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</row>
    <row r="1046">
      <c r="A1046" s="17"/>
      <c r="B1046" s="17"/>
      <c r="C1046" s="17"/>
      <c r="D1046" s="8"/>
      <c r="E1046" s="16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</row>
    <row r="1047">
      <c r="A1047" s="17"/>
      <c r="B1047" s="17"/>
      <c r="C1047" s="17"/>
      <c r="D1047" s="8"/>
      <c r="E1047" s="16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</row>
    <row r="1048">
      <c r="A1048" s="17"/>
      <c r="B1048" s="17"/>
      <c r="C1048" s="17"/>
      <c r="D1048" s="8"/>
      <c r="E1048" s="16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</row>
    <row r="1049">
      <c r="A1049" s="17"/>
      <c r="B1049" s="17"/>
      <c r="C1049" s="17"/>
      <c r="D1049" s="8"/>
      <c r="E1049" s="16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</row>
    <row r="1050">
      <c r="A1050" s="17"/>
      <c r="B1050" s="17"/>
      <c r="C1050" s="17"/>
      <c r="D1050" s="8"/>
      <c r="E1050" s="16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</row>
    <row r="1051">
      <c r="A1051" s="17"/>
      <c r="B1051" s="17"/>
      <c r="C1051" s="17"/>
      <c r="D1051" s="8"/>
      <c r="E1051" s="16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</row>
    <row r="1052">
      <c r="A1052" s="17"/>
      <c r="B1052" s="17"/>
      <c r="C1052" s="17"/>
      <c r="D1052" s="8"/>
      <c r="E1052" s="16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</row>
    <row r="1053">
      <c r="A1053" s="17"/>
      <c r="B1053" s="17"/>
      <c r="C1053" s="17"/>
      <c r="D1053" s="8"/>
      <c r="E1053" s="16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</row>
    <row r="1054">
      <c r="A1054" s="17"/>
      <c r="B1054" s="17"/>
      <c r="C1054" s="17"/>
      <c r="D1054" s="8"/>
      <c r="E1054" s="16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</row>
    <row r="1055">
      <c r="A1055" s="17"/>
      <c r="B1055" s="17"/>
      <c r="C1055" s="17"/>
      <c r="D1055" s="8"/>
      <c r="E1055" s="16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</row>
  </sheetData>
  <hyperlinks>
    <hyperlink r:id="rId1" ref="E60"/>
    <hyperlink r:id="rId2" ref="E66"/>
    <hyperlink r:id="rId3" ref="E78"/>
    <hyperlink r:id="rId4" ref="E127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15.5"/>
    <col customWidth="1" min="2" max="2" width="22.63"/>
    <col customWidth="1" min="3" max="3" width="20.5"/>
    <col customWidth="1" min="4" max="4" width="24.88"/>
    <col customWidth="1" min="5" max="5" width="20.13"/>
  </cols>
  <sheetData>
    <row r="1">
      <c r="A1" s="11" t="s">
        <v>1</v>
      </c>
      <c r="B1" s="11" t="s">
        <v>14</v>
      </c>
      <c r="C1" s="11" t="s">
        <v>3</v>
      </c>
      <c r="D1" s="11" t="s">
        <v>15</v>
      </c>
      <c r="E1" s="11" t="s">
        <v>16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>
      <c r="A2" s="26" t="s">
        <v>17</v>
      </c>
      <c r="B2" s="26" t="s">
        <v>22</v>
      </c>
      <c r="C2" s="26" t="s">
        <v>29</v>
      </c>
      <c r="D2" s="26" t="s">
        <v>30</v>
      </c>
      <c r="E2" s="47" t="s">
        <v>32</v>
      </c>
    </row>
    <row r="3">
      <c r="A3" s="26" t="s">
        <v>40</v>
      </c>
      <c r="B3" s="26" t="s">
        <v>22</v>
      </c>
      <c r="C3" s="26" t="s">
        <v>42</v>
      </c>
      <c r="D3" s="26" t="s">
        <v>30</v>
      </c>
      <c r="E3" s="47" t="s">
        <v>32</v>
      </c>
    </row>
    <row r="4">
      <c r="A4" s="26" t="s">
        <v>46</v>
      </c>
      <c r="B4" s="26" t="s">
        <v>49</v>
      </c>
      <c r="C4" s="26" t="s">
        <v>51</v>
      </c>
      <c r="D4" s="26" t="s">
        <v>30</v>
      </c>
      <c r="E4" s="47" t="s">
        <v>52</v>
      </c>
    </row>
    <row r="5">
      <c r="A5" s="26" t="s">
        <v>46</v>
      </c>
      <c r="B5" s="26" t="s">
        <v>49</v>
      </c>
      <c r="C5" s="26" t="s">
        <v>57</v>
      </c>
      <c r="D5" s="26" t="s">
        <v>30</v>
      </c>
      <c r="E5" s="47" t="s">
        <v>52</v>
      </c>
    </row>
    <row r="6">
      <c r="A6" s="26" t="s">
        <v>59</v>
      </c>
      <c r="B6" s="26" t="s">
        <v>60</v>
      </c>
      <c r="C6" s="26" t="s">
        <v>61</v>
      </c>
      <c r="D6" s="26" t="s">
        <v>62</v>
      </c>
      <c r="E6" s="47" t="s">
        <v>63</v>
      </c>
    </row>
    <row r="7">
      <c r="A7" s="26" t="s">
        <v>46</v>
      </c>
      <c r="B7" s="26" t="s">
        <v>49</v>
      </c>
      <c r="C7" s="26" t="s">
        <v>71</v>
      </c>
      <c r="D7" s="26" t="s">
        <v>30</v>
      </c>
      <c r="E7" s="47" t="s">
        <v>72</v>
      </c>
    </row>
    <row r="8">
      <c r="A8" s="26" t="s">
        <v>76</v>
      </c>
      <c r="B8" s="26" t="s">
        <v>60</v>
      </c>
      <c r="C8" s="26" t="s">
        <v>51</v>
      </c>
      <c r="D8" s="26" t="s">
        <v>30</v>
      </c>
    </row>
    <row r="9">
      <c r="C9" s="61"/>
    </row>
    <row r="10">
      <c r="C10" s="61"/>
    </row>
    <row r="11">
      <c r="C11" s="61"/>
    </row>
    <row r="12">
      <c r="C12" s="61"/>
    </row>
    <row r="13">
      <c r="C13" s="61"/>
    </row>
    <row r="14">
      <c r="C14" s="61"/>
    </row>
    <row r="15">
      <c r="C15" s="61"/>
    </row>
    <row r="16">
      <c r="C16" s="61"/>
    </row>
    <row r="17">
      <c r="C17" s="61"/>
    </row>
    <row r="18">
      <c r="C18" s="61"/>
    </row>
    <row r="19">
      <c r="C19" s="61"/>
    </row>
    <row r="20">
      <c r="C20" s="61"/>
    </row>
    <row r="21">
      <c r="C21" s="61"/>
    </row>
    <row r="22">
      <c r="C22" s="61"/>
    </row>
    <row r="23">
      <c r="C23" s="61"/>
    </row>
    <row r="24">
      <c r="C24" s="61"/>
    </row>
    <row r="25">
      <c r="C25" s="61"/>
    </row>
    <row r="26">
      <c r="C26" s="61"/>
    </row>
    <row r="27">
      <c r="C27" s="61"/>
    </row>
    <row r="28">
      <c r="C28" s="61"/>
    </row>
    <row r="29">
      <c r="C29" s="61"/>
    </row>
    <row r="30">
      <c r="C30" s="61"/>
    </row>
    <row r="31">
      <c r="C31" s="61"/>
    </row>
    <row r="32">
      <c r="C32" s="61"/>
    </row>
    <row r="33">
      <c r="C33" s="61"/>
    </row>
    <row r="34">
      <c r="C34" s="61"/>
    </row>
    <row r="35">
      <c r="C35" s="61"/>
    </row>
    <row r="36">
      <c r="C36" s="61"/>
    </row>
    <row r="37">
      <c r="C37" s="61"/>
    </row>
    <row r="38">
      <c r="C38" s="61"/>
    </row>
    <row r="39">
      <c r="C39" s="61"/>
    </row>
    <row r="40">
      <c r="C40" s="61"/>
    </row>
    <row r="41">
      <c r="C41" s="61"/>
    </row>
    <row r="42">
      <c r="C42" s="61"/>
    </row>
    <row r="43">
      <c r="C43" s="61"/>
    </row>
    <row r="44">
      <c r="C44" s="61"/>
    </row>
    <row r="45">
      <c r="C45" s="61"/>
    </row>
    <row r="46">
      <c r="C46" s="61"/>
    </row>
    <row r="47">
      <c r="C47" s="61"/>
    </row>
    <row r="48">
      <c r="C48" s="61"/>
    </row>
    <row r="49">
      <c r="C49" s="61"/>
    </row>
    <row r="50">
      <c r="C50" s="61"/>
    </row>
    <row r="51">
      <c r="C51" s="61"/>
    </row>
    <row r="52">
      <c r="C52" s="61"/>
    </row>
    <row r="53">
      <c r="C53" s="61"/>
    </row>
    <row r="54">
      <c r="C54" s="61"/>
    </row>
    <row r="55">
      <c r="C55" s="61"/>
    </row>
    <row r="56">
      <c r="C56" s="61"/>
    </row>
    <row r="57">
      <c r="C57" s="61"/>
    </row>
    <row r="58">
      <c r="C58" s="61"/>
    </row>
    <row r="59">
      <c r="C59" s="61"/>
    </row>
    <row r="60">
      <c r="C60" s="61"/>
    </row>
    <row r="61">
      <c r="C61" s="61"/>
    </row>
    <row r="62">
      <c r="C62" s="61"/>
    </row>
    <row r="63">
      <c r="C63" s="61"/>
    </row>
    <row r="64">
      <c r="C64" s="61"/>
    </row>
    <row r="65">
      <c r="C65" s="61"/>
    </row>
    <row r="66">
      <c r="C66" s="61"/>
    </row>
    <row r="67">
      <c r="C67" s="61"/>
    </row>
    <row r="68">
      <c r="C68" s="61"/>
    </row>
    <row r="69">
      <c r="C69" s="61"/>
    </row>
    <row r="70">
      <c r="C70" s="61"/>
    </row>
    <row r="71">
      <c r="C71" s="61"/>
    </row>
    <row r="72">
      <c r="C72" s="61"/>
    </row>
    <row r="73">
      <c r="C73" s="61"/>
    </row>
    <row r="74">
      <c r="C74" s="61"/>
    </row>
    <row r="75">
      <c r="C75" s="61"/>
    </row>
    <row r="76">
      <c r="C76" s="61"/>
    </row>
    <row r="77">
      <c r="C77" s="61"/>
    </row>
    <row r="78">
      <c r="C78" s="61"/>
    </row>
    <row r="79">
      <c r="C79" s="61"/>
    </row>
    <row r="80">
      <c r="C80" s="61"/>
    </row>
    <row r="81">
      <c r="C81" s="61"/>
    </row>
    <row r="82">
      <c r="C82" s="61"/>
    </row>
    <row r="83">
      <c r="C83" s="61"/>
    </row>
    <row r="84">
      <c r="C84" s="61"/>
    </row>
    <row r="85">
      <c r="C85" s="61"/>
    </row>
    <row r="86">
      <c r="C86" s="61"/>
    </row>
    <row r="87">
      <c r="C87" s="61"/>
    </row>
    <row r="88">
      <c r="C88" s="61"/>
    </row>
    <row r="89">
      <c r="C89" s="61"/>
    </row>
    <row r="90">
      <c r="C90" s="61"/>
    </row>
    <row r="91">
      <c r="C91" s="61"/>
    </row>
    <row r="92">
      <c r="C92" s="61"/>
    </row>
  </sheetData>
  <dataValidations>
    <dataValidation type="list" allowBlank="1" showErrorMessage="1" sqref="C2:C92">
      <formula1>"EVP,Активация,Митапы / спецпроекты,Mini app,Стажировки,Амбассадорские программы,Спецпроекты GR,Внутренний чемпионат/хакатон,Внешний чемпионат / хакатон,Асессменты/тесты,ДРУГОЕ"</formula1>
    </dataValidation>
  </dataValidations>
  <hyperlinks>
    <hyperlink r:id="rId1" location="gid=1841237829" ref="E2"/>
    <hyperlink r:id="rId2" location="gid=798430410" ref="E3"/>
    <hyperlink r:id="rId3" location="gid=1070759059" ref="E4"/>
    <hyperlink r:id="rId4" location="gid=1070759059" ref="E5"/>
    <hyperlink r:id="rId5" location="gid=1494037662" ref="E6"/>
    <hyperlink r:id="rId6" location="gid=319971751" ref="E7"/>
  </hyperlinks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 outlineLevelRow="1"/>
  <cols>
    <col customWidth="1" min="1" max="1" width="13.25"/>
    <col customWidth="1" min="2" max="2" width="17.88"/>
    <col customWidth="1" min="3" max="3" width="46.38"/>
    <col customWidth="1" min="5" max="5" width="40.5"/>
    <col customWidth="1" min="6" max="6" width="26.13"/>
  </cols>
  <sheetData>
    <row r="1">
      <c r="A1" s="1" t="s">
        <v>0</v>
      </c>
      <c r="B1" s="1" t="s">
        <v>3</v>
      </c>
      <c r="C1" s="1" t="s">
        <v>4</v>
      </c>
      <c r="D1" s="3" t="s">
        <v>5</v>
      </c>
      <c r="E1" s="5" t="s">
        <v>6</v>
      </c>
      <c r="F1" s="7" t="s">
        <v>7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 t="s">
        <v>9</v>
      </c>
      <c r="B2" s="10" t="s">
        <v>10</v>
      </c>
      <c r="C2" s="13" t="s">
        <v>13</v>
      </c>
      <c r="D2" s="14"/>
      <c r="E2" s="16"/>
      <c r="F2" s="7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7"/>
      <c r="B3" s="19"/>
      <c r="C3" s="20" t="s">
        <v>18</v>
      </c>
      <c r="D3" s="22">
        <v>50.0</v>
      </c>
      <c r="E3" s="16"/>
      <c r="F3" s="7"/>
      <c r="G3" s="7"/>
      <c r="H3" s="7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7"/>
      <c r="B4" s="19"/>
      <c r="C4" s="20" t="s">
        <v>20</v>
      </c>
      <c r="D4" s="14">
        <v>36000.0</v>
      </c>
      <c r="E4" s="27" t="s">
        <v>67</v>
      </c>
      <c r="F4" s="7"/>
      <c r="G4" s="7"/>
      <c r="H4" s="7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7"/>
      <c r="B5" s="19"/>
      <c r="C5" s="20" t="s">
        <v>23</v>
      </c>
      <c r="D5" s="14">
        <v>85000.0</v>
      </c>
      <c r="E5" s="16"/>
      <c r="F5" s="7"/>
      <c r="G5" s="8"/>
      <c r="H5" s="7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7"/>
      <c r="B6" s="19"/>
      <c r="C6" s="20" t="s">
        <v>25</v>
      </c>
      <c r="D6" s="34">
        <v>0.7</v>
      </c>
      <c r="E6" s="16"/>
      <c r="F6" s="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7"/>
      <c r="B7" s="19"/>
      <c r="C7" s="20" t="s">
        <v>259</v>
      </c>
      <c r="D7" s="46">
        <v>3.0</v>
      </c>
      <c r="E7" s="16"/>
      <c r="F7" s="7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7"/>
      <c r="B8" s="19"/>
      <c r="C8" s="20" t="s">
        <v>38</v>
      </c>
      <c r="D8" s="46">
        <v>12.0</v>
      </c>
      <c r="E8" s="16"/>
      <c r="F8" s="7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7"/>
      <c r="B9" s="19"/>
      <c r="C9" s="20" t="s">
        <v>39</v>
      </c>
      <c r="D9" s="51">
        <f>D3*(D5-D4)*D6*D7*D8</f>
        <v>61740000</v>
      </c>
      <c r="E9" s="16"/>
      <c r="F9" s="7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7"/>
      <c r="B10" s="19"/>
      <c r="C10" s="13" t="s">
        <v>54</v>
      </c>
      <c r="D10" s="22"/>
      <c r="E10" s="16"/>
      <c r="F10" s="7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7"/>
      <c r="B11" s="19"/>
      <c r="C11" s="20" t="s">
        <v>58</v>
      </c>
      <c r="D11" s="22">
        <v>50.0</v>
      </c>
      <c r="E11" s="16"/>
      <c r="F11" s="7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7"/>
      <c r="B12" s="19"/>
      <c r="C12" s="1" t="s">
        <v>65</v>
      </c>
      <c r="D12" s="14"/>
      <c r="E12" s="27"/>
      <c r="F12" s="7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7"/>
      <c r="B13" s="19"/>
      <c r="C13" s="17" t="s">
        <v>66</v>
      </c>
      <c r="D13" s="14">
        <v>50000.0</v>
      </c>
      <c r="E13" s="27" t="s">
        <v>67</v>
      </c>
      <c r="F13" s="7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7"/>
      <c r="B14" s="19"/>
      <c r="C14" s="17" t="s">
        <v>69</v>
      </c>
      <c r="D14" s="14">
        <f>D13*12</f>
        <v>600000</v>
      </c>
      <c r="E14" s="16"/>
      <c r="F14" s="7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7"/>
      <c r="B15" s="19"/>
      <c r="C15" s="17" t="s">
        <v>74</v>
      </c>
      <c r="D15" s="34">
        <v>0.18</v>
      </c>
      <c r="E15" s="27" t="s">
        <v>70</v>
      </c>
      <c r="F15" s="7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7"/>
      <c r="B16" s="19"/>
      <c r="C16" s="20" t="s">
        <v>75</v>
      </c>
      <c r="D16" s="14">
        <f>D11*D15*D14</f>
        <v>5400000</v>
      </c>
      <c r="E16" s="16"/>
      <c r="F16" s="7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7"/>
      <c r="B17" s="19"/>
      <c r="C17" s="1" t="s">
        <v>78</v>
      </c>
      <c r="D17" s="14"/>
      <c r="E17" s="27"/>
      <c r="F17" s="7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7"/>
      <c r="B18" s="19"/>
      <c r="C18" s="20" t="s">
        <v>79</v>
      </c>
      <c r="D18" s="46">
        <f>D11/0.001</f>
        <v>50000</v>
      </c>
      <c r="E18" s="27"/>
      <c r="F18" s="7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7"/>
      <c r="B19" s="19"/>
      <c r="C19" s="20" t="s">
        <v>81</v>
      </c>
      <c r="D19" s="14">
        <f>D18*3</f>
        <v>150000</v>
      </c>
      <c r="E19" s="27"/>
      <c r="F19" s="7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7"/>
      <c r="B20" s="19"/>
      <c r="C20" s="1" t="s">
        <v>268</v>
      </c>
      <c r="D20" s="14">
        <v>2000000.0</v>
      </c>
      <c r="E20" s="27"/>
      <c r="F20" s="7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7"/>
      <c r="B21" s="19"/>
      <c r="C21" s="20" t="s">
        <v>82</v>
      </c>
      <c r="D21" s="51">
        <f>D16+D19-D20</f>
        <v>3550000</v>
      </c>
      <c r="E21" s="27"/>
      <c r="F21" s="7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7"/>
      <c r="B22" s="19"/>
      <c r="C22" s="13" t="s">
        <v>86</v>
      </c>
      <c r="D22" s="66"/>
      <c r="E22" s="16"/>
      <c r="F22" s="7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7"/>
      <c r="B23" s="19"/>
      <c r="C23" s="20" t="s">
        <v>89</v>
      </c>
      <c r="D23" s="46">
        <v>200.0</v>
      </c>
      <c r="E23" s="16"/>
      <c r="F23" s="7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7"/>
      <c r="B24" s="19"/>
      <c r="C24" s="20" t="s">
        <v>90</v>
      </c>
      <c r="D24" s="46">
        <v>450.0</v>
      </c>
      <c r="E24" s="16"/>
      <c r="F24" s="7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7"/>
      <c r="B25" s="19"/>
      <c r="C25" s="20" t="s">
        <v>92</v>
      </c>
      <c r="D25" s="66">
        <v>1200.0</v>
      </c>
      <c r="E25" s="16"/>
      <c r="F25" s="7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7"/>
      <c r="B26" s="19"/>
      <c r="C26" s="20" t="s">
        <v>93</v>
      </c>
      <c r="D26" s="46">
        <v>20000.0</v>
      </c>
      <c r="E26" s="16"/>
      <c r="F26" s="7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7"/>
      <c r="B27" s="19"/>
      <c r="C27" s="20" t="s">
        <v>94</v>
      </c>
      <c r="D27" s="66">
        <v>3.0</v>
      </c>
      <c r="E27" s="16"/>
      <c r="F27" s="7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7"/>
      <c r="B28" s="19"/>
      <c r="C28" s="72" t="s">
        <v>97</v>
      </c>
      <c r="D28" s="75">
        <f>D23*D25+D26*D27</f>
        <v>300000</v>
      </c>
      <c r="E28" s="16"/>
      <c r="F28" s="7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7"/>
      <c r="B29" s="19"/>
      <c r="C29" s="72" t="s">
        <v>99</v>
      </c>
      <c r="D29" s="75">
        <f>D24*D25+D26*D27</f>
        <v>600000</v>
      </c>
      <c r="E29" s="16"/>
      <c r="F29" s="7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43.5" customHeight="1">
      <c r="A30" s="17"/>
      <c r="B30" s="19"/>
      <c r="C30" s="13" t="s">
        <v>104</v>
      </c>
      <c r="D30" s="14"/>
      <c r="E30" s="8"/>
      <c r="F30" s="7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7"/>
      <c r="B31" s="19"/>
      <c r="C31" s="78" t="s">
        <v>105</v>
      </c>
      <c r="D31" s="46">
        <v>10.0</v>
      </c>
      <c r="E31" s="27"/>
      <c r="F31" s="7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7"/>
      <c r="B32" s="19"/>
      <c r="C32" s="17" t="s">
        <v>66</v>
      </c>
      <c r="D32" s="14">
        <v>80000.0</v>
      </c>
      <c r="E32" s="27" t="s">
        <v>106</v>
      </c>
      <c r="F32" s="7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7"/>
      <c r="B33" s="19"/>
      <c r="C33" s="17" t="s">
        <v>69</v>
      </c>
      <c r="D33" s="14">
        <f>D32*12</f>
        <v>960000</v>
      </c>
      <c r="E33" s="27"/>
      <c r="F33" s="7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7"/>
      <c r="B34" s="19"/>
      <c r="C34" s="17" t="s">
        <v>74</v>
      </c>
      <c r="D34" s="34">
        <v>0.18</v>
      </c>
      <c r="E34" s="27"/>
      <c r="F34" s="7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7"/>
      <c r="B35" s="19"/>
      <c r="C35" s="20" t="s">
        <v>75</v>
      </c>
      <c r="D35" s="14">
        <f>D31*D34*D33</f>
        <v>1728000</v>
      </c>
      <c r="E35" s="27"/>
      <c r="F35" s="7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7"/>
      <c r="B36" s="19"/>
      <c r="C36" s="78" t="s">
        <v>112</v>
      </c>
      <c r="D36" s="46">
        <v>700.0</v>
      </c>
      <c r="E36" s="27"/>
      <c r="F36" s="7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7"/>
      <c r="B37" s="19"/>
      <c r="C37" s="78" t="s">
        <v>113</v>
      </c>
      <c r="D37" s="14">
        <v>1200.0</v>
      </c>
      <c r="E37" s="27"/>
      <c r="F37" s="7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7"/>
      <c r="B38" s="19"/>
      <c r="C38" s="78" t="s">
        <v>114</v>
      </c>
      <c r="D38" s="14">
        <f>D36*D37</f>
        <v>840000</v>
      </c>
      <c r="E38" s="27"/>
      <c r="F38" s="7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7"/>
      <c r="B39" s="19"/>
      <c r="C39" s="20" t="s">
        <v>79</v>
      </c>
      <c r="D39" s="46">
        <f>D36/0.01</f>
        <v>70000</v>
      </c>
      <c r="E39" s="27"/>
      <c r="F39" s="7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7"/>
      <c r="B40" s="19"/>
      <c r="C40" s="20" t="s">
        <v>81</v>
      </c>
      <c r="D40" s="14">
        <f>D39*3</f>
        <v>210000</v>
      </c>
      <c r="E40" s="27"/>
      <c r="F40" s="7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7"/>
      <c r="B41" s="19"/>
      <c r="C41" s="87" t="s">
        <v>119</v>
      </c>
      <c r="D41" s="51">
        <f>D35+D38+D40</f>
        <v>2778000</v>
      </c>
      <c r="E41" s="16"/>
      <c r="F41" s="7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7"/>
      <c r="B42" s="19"/>
      <c r="C42" s="13" t="s">
        <v>121</v>
      </c>
      <c r="D42" s="66"/>
      <c r="E42" s="16"/>
      <c r="F42" s="7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7"/>
      <c r="B43" s="19"/>
      <c r="C43" s="91" t="s">
        <v>123</v>
      </c>
      <c r="D43" s="14">
        <v>150000.0</v>
      </c>
      <c r="E43" s="16"/>
      <c r="F43" s="7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7"/>
      <c r="B44" s="93"/>
      <c r="C44" s="91" t="s">
        <v>125</v>
      </c>
      <c r="D44" s="14">
        <f>10000*24</f>
        <v>240000</v>
      </c>
      <c r="E44" s="2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7"/>
      <c r="B45" s="93"/>
      <c r="C45" s="91" t="s">
        <v>128</v>
      </c>
      <c r="D45" s="14">
        <f>10000*180</f>
        <v>1800000</v>
      </c>
      <c r="E45" s="27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7"/>
      <c r="B46" s="93"/>
      <c r="C46" s="91" t="s">
        <v>130</v>
      </c>
      <c r="D46" s="14">
        <f>5000*120</f>
        <v>600000</v>
      </c>
      <c r="E46" s="16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7"/>
      <c r="B47" s="96"/>
      <c r="C47" s="91" t="s">
        <v>133</v>
      </c>
      <c r="D47" s="14">
        <f>24*5000</f>
        <v>120000</v>
      </c>
      <c r="E47" s="27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17"/>
      <c r="B48" s="93"/>
      <c r="C48" s="20" t="s">
        <v>135</v>
      </c>
      <c r="D48" s="75">
        <f>SUM(D43:D47)</f>
        <v>2910000</v>
      </c>
      <c r="E48" s="16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17"/>
      <c r="B49" s="17"/>
      <c r="C49" s="13" t="s">
        <v>302</v>
      </c>
      <c r="D49" s="8"/>
      <c r="E49" s="2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7"/>
      <c r="B50" s="17"/>
      <c r="C50" s="139" t="s">
        <v>303</v>
      </c>
      <c r="D50" s="14">
        <v>100000.0</v>
      </c>
      <c r="E50" s="27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17"/>
      <c r="B51" s="17"/>
      <c r="C51" s="139" t="s">
        <v>306</v>
      </c>
      <c r="D51" s="14">
        <v>1000000.0</v>
      </c>
      <c r="E51" s="27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17"/>
      <c r="B52" s="17"/>
      <c r="C52" s="139" t="s">
        <v>309</v>
      </c>
      <c r="D52" s="14">
        <f>3*250000</f>
        <v>750000</v>
      </c>
      <c r="E52" s="27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17"/>
      <c r="B53" s="17"/>
      <c r="C53" s="139" t="s">
        <v>311</v>
      </c>
      <c r="D53" s="14">
        <v>300000.0</v>
      </c>
      <c r="E53" s="27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17"/>
      <c r="B54" s="45"/>
      <c r="C54" s="139" t="s">
        <v>313</v>
      </c>
      <c r="D54" s="14">
        <v>45000.0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17"/>
      <c r="B55" s="17"/>
      <c r="C55" s="139" t="s">
        <v>314</v>
      </c>
      <c r="D55" s="14">
        <f>1500*70*2</f>
        <v>210000</v>
      </c>
      <c r="E55" s="27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17"/>
      <c r="B56" s="17"/>
      <c r="C56" s="217" t="s">
        <v>317</v>
      </c>
      <c r="D56" s="176">
        <f>SUM(D50:D55)</f>
        <v>2405000</v>
      </c>
      <c r="E56" s="16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9" t="s">
        <v>109</v>
      </c>
      <c r="B57" s="10" t="s">
        <v>29</v>
      </c>
      <c r="D57" s="8"/>
      <c r="E57" s="16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17"/>
      <c r="B58" s="17"/>
      <c r="C58" s="25" t="s">
        <v>140</v>
      </c>
      <c r="D58" s="28"/>
      <c r="E58" s="24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17"/>
      <c r="B59" s="17"/>
      <c r="C59" s="86" t="s">
        <v>116</v>
      </c>
      <c r="D59" s="85">
        <v>1000.0</v>
      </c>
      <c r="E59" s="24" t="s">
        <v>67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17"/>
      <c r="B60" s="17"/>
      <c r="C60" s="86" t="s">
        <v>118</v>
      </c>
      <c r="D60" s="88">
        <f>D59*12</f>
        <v>12000</v>
      </c>
      <c r="E60" s="24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17"/>
      <c r="B61" s="17"/>
      <c r="C61" s="86" t="s">
        <v>122</v>
      </c>
      <c r="D61" s="90">
        <v>10000.0</v>
      </c>
      <c r="E61" s="24" t="s">
        <v>67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17"/>
      <c r="B62" s="17"/>
      <c r="C62" s="86" t="s">
        <v>124</v>
      </c>
      <c r="D62" s="94">
        <f>D60*D61</f>
        <v>120000000</v>
      </c>
      <c r="E62" s="24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17"/>
      <c r="B63" s="17"/>
      <c r="C63" s="86" t="s">
        <v>129</v>
      </c>
      <c r="D63" s="94">
        <f>D62*3%</f>
        <v>3600000</v>
      </c>
      <c r="E63" s="98" t="s">
        <v>327</v>
      </c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17"/>
      <c r="B64" s="17"/>
      <c r="C64" s="86" t="s">
        <v>27</v>
      </c>
      <c r="D64" s="100">
        <f>(13%+30%+1/12+1/12/2+1/12/2)</f>
        <v>0.5966666667</v>
      </c>
      <c r="E64" s="24" t="s">
        <v>36</v>
      </c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17"/>
      <c r="B65" s="17"/>
      <c r="C65" s="86" t="s">
        <v>139</v>
      </c>
      <c r="D65" s="103">
        <f>D63*(1+D64)</f>
        <v>5748000</v>
      </c>
      <c r="E65" s="24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17"/>
      <c r="B66" s="17"/>
      <c r="C66" s="13" t="s">
        <v>141</v>
      </c>
      <c r="D66" s="46"/>
      <c r="E66" s="16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17"/>
      <c r="B67" s="17"/>
      <c r="C67" s="17" t="s">
        <v>122</v>
      </c>
      <c r="D67" s="46">
        <v>10000.0</v>
      </c>
      <c r="E67" s="16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17"/>
      <c r="B68" s="93"/>
      <c r="C68" s="17" t="s">
        <v>143</v>
      </c>
      <c r="D68" s="96">
        <v>0.2</v>
      </c>
      <c r="E68" s="27" t="s">
        <v>67</v>
      </c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17"/>
      <c r="B69" s="17"/>
      <c r="C69" s="17" t="s">
        <v>144</v>
      </c>
      <c r="D69" s="96">
        <f>(69/3)%</f>
        <v>0.23</v>
      </c>
      <c r="E69" s="117" t="s">
        <v>333</v>
      </c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17"/>
      <c r="B70" s="93"/>
      <c r="C70" s="17" t="s">
        <v>148</v>
      </c>
      <c r="D70" s="96">
        <f>D68*(1-D69)</f>
        <v>0.154</v>
      </c>
      <c r="E70" s="119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17"/>
      <c r="B71" s="19"/>
      <c r="C71" s="17" t="s">
        <v>149</v>
      </c>
      <c r="D71" s="19">
        <f>D67*(D68-D70)</f>
        <v>460</v>
      </c>
      <c r="E71" s="121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20"/>
      <c r="B72" s="19"/>
      <c r="C72" s="20" t="s">
        <v>152</v>
      </c>
      <c r="D72" s="14">
        <v>1000.0</v>
      </c>
      <c r="E72" s="27" t="s">
        <v>67</v>
      </c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17"/>
      <c r="B73" s="96"/>
      <c r="C73" s="17" t="s">
        <v>153</v>
      </c>
      <c r="D73" s="34">
        <v>0.15</v>
      </c>
      <c r="E73" s="27" t="s">
        <v>70</v>
      </c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106"/>
      <c r="B74" s="125"/>
      <c r="C74" s="17" t="s">
        <v>154</v>
      </c>
      <c r="D74" s="93">
        <f>D72*12*D73</f>
        <v>1800</v>
      </c>
      <c r="E74" s="16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17"/>
      <c r="B75" s="17"/>
      <c r="C75" s="20" t="s">
        <v>156</v>
      </c>
      <c r="D75" s="51">
        <f>D71*D74</f>
        <v>828000</v>
      </c>
      <c r="E75" s="27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17"/>
      <c r="B76" s="19"/>
      <c r="C76" s="13" t="s">
        <v>157</v>
      </c>
      <c r="D76" s="8"/>
      <c r="E76" s="16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17"/>
      <c r="B77" s="93"/>
      <c r="C77" s="20" t="s">
        <v>102</v>
      </c>
      <c r="D77" s="14">
        <v>1000.0</v>
      </c>
      <c r="E77" s="27" t="s">
        <v>67</v>
      </c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17"/>
      <c r="B78" s="17"/>
      <c r="C78" s="20" t="s">
        <v>107</v>
      </c>
      <c r="D78" s="14">
        <f>D77*12</f>
        <v>12000</v>
      </c>
      <c r="E78" s="27" t="s">
        <v>67</v>
      </c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17"/>
      <c r="B79" s="17"/>
      <c r="C79" s="17" t="s">
        <v>74</v>
      </c>
      <c r="D79" s="34">
        <v>0.15</v>
      </c>
      <c r="E79" s="27" t="s">
        <v>70</v>
      </c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17"/>
      <c r="B80" s="17"/>
      <c r="C80" s="20" t="s">
        <v>115</v>
      </c>
      <c r="D80" s="14">
        <f>D78*D79</f>
        <v>1800</v>
      </c>
      <c r="E80" s="27" t="s">
        <v>70</v>
      </c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17"/>
      <c r="B81" s="17"/>
      <c r="C81" s="20" t="s">
        <v>160</v>
      </c>
      <c r="D81" s="14">
        <f>D80*43%/3</f>
        <v>258</v>
      </c>
      <c r="E81" s="138" t="s">
        <v>344</v>
      </c>
      <c r="F81" s="139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20"/>
      <c r="B82" s="20"/>
      <c r="C82" s="20" t="s">
        <v>122</v>
      </c>
      <c r="D82" s="46">
        <v>10000.0</v>
      </c>
      <c r="E82" s="16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20"/>
      <c r="B83" s="20"/>
      <c r="C83" s="20" t="s">
        <v>165</v>
      </c>
      <c r="D83" s="34">
        <v>0.1</v>
      </c>
      <c r="E83" s="16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20"/>
      <c r="B84" s="20"/>
      <c r="C84" s="20" t="s">
        <v>132</v>
      </c>
      <c r="D84" s="46">
        <f>D82*D83</f>
        <v>1000</v>
      </c>
      <c r="E84" s="16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20"/>
      <c r="B85" s="20"/>
      <c r="C85" s="20" t="s">
        <v>166</v>
      </c>
      <c r="D85" s="51">
        <f>D81*D84</f>
        <v>258000</v>
      </c>
      <c r="E85" s="16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9" t="s">
        <v>352</v>
      </c>
      <c r="B86" s="10" t="s">
        <v>176</v>
      </c>
      <c r="C86" s="13" t="s">
        <v>177</v>
      </c>
      <c r="D86" s="8"/>
      <c r="E86" s="16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17"/>
      <c r="B87" s="17"/>
      <c r="C87" s="20" t="s">
        <v>178</v>
      </c>
      <c r="D87" s="46">
        <v>5.0</v>
      </c>
      <c r="E87" s="16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17"/>
      <c r="B88" s="17"/>
      <c r="C88" s="20" t="s">
        <v>179</v>
      </c>
      <c r="D88" s="14">
        <v>60000.0</v>
      </c>
      <c r="E88" s="27" t="s">
        <v>67</v>
      </c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17"/>
      <c r="B89" s="17"/>
      <c r="C89" s="20" t="s">
        <v>181</v>
      </c>
      <c r="D89" s="14">
        <f>D88*12</f>
        <v>720000</v>
      </c>
      <c r="E89" s="27" t="s">
        <v>67</v>
      </c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17"/>
      <c r="B90" s="17"/>
      <c r="C90" s="17" t="s">
        <v>74</v>
      </c>
      <c r="D90" s="34">
        <v>0.18</v>
      </c>
      <c r="E90" s="27" t="s">
        <v>70</v>
      </c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17"/>
      <c r="B91" s="17"/>
      <c r="C91" s="20" t="s">
        <v>183</v>
      </c>
      <c r="D91" s="51">
        <f>D87*D90*D89</f>
        <v>648000</v>
      </c>
      <c r="E91" s="27" t="s">
        <v>185</v>
      </c>
      <c r="F91" s="7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17"/>
      <c r="B92" s="17"/>
      <c r="C92" s="13" t="s">
        <v>186</v>
      </c>
      <c r="D92" s="17"/>
      <c r="E92" s="157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17"/>
      <c r="B93" s="17"/>
      <c r="C93" s="17" t="s">
        <v>182</v>
      </c>
      <c r="D93" s="22">
        <v>120.0</v>
      </c>
      <c r="E93" s="16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17"/>
      <c r="B94" s="17"/>
      <c r="C94" s="17" t="s">
        <v>188</v>
      </c>
      <c r="D94" s="19">
        <v>40.0</v>
      </c>
      <c r="E94" s="16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17"/>
      <c r="B95" s="17"/>
      <c r="C95" s="17" t="s">
        <v>189</v>
      </c>
      <c r="D95" s="14">
        <v>1500.0</v>
      </c>
      <c r="E95" s="27" t="s">
        <v>190</v>
      </c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17"/>
      <c r="B96" s="17"/>
      <c r="C96" s="17" t="s">
        <v>192</v>
      </c>
      <c r="D96" s="51">
        <f>D93*D94*D95</f>
        <v>7200000</v>
      </c>
      <c r="E96" s="162" t="s">
        <v>194</v>
      </c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17"/>
      <c r="B97" s="17"/>
      <c r="C97" s="13" t="s">
        <v>197</v>
      </c>
      <c r="D97" s="17"/>
      <c r="E97" s="157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17"/>
      <c r="B98" s="17"/>
      <c r="C98" s="165" t="s">
        <v>199</v>
      </c>
      <c r="D98" s="166">
        <v>3000.0</v>
      </c>
      <c r="E98" s="16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17"/>
      <c r="B99" s="17"/>
      <c r="C99" s="165" t="s">
        <v>203</v>
      </c>
      <c r="D99" s="14">
        <v>1200.0</v>
      </c>
      <c r="E99" s="27" t="s">
        <v>204</v>
      </c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17"/>
      <c r="B100" s="17"/>
      <c r="C100" s="165" t="s">
        <v>206</v>
      </c>
      <c r="D100" s="34">
        <v>0.25</v>
      </c>
      <c r="E100" s="16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7"/>
      <c r="B101" s="17"/>
      <c r="C101" s="165" t="s">
        <v>210</v>
      </c>
      <c r="D101" s="51">
        <f>D98*D99*D100</f>
        <v>900000</v>
      </c>
      <c r="E101" s="16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7"/>
      <c r="B102" s="17"/>
      <c r="C102" s="13" t="s">
        <v>213</v>
      </c>
      <c r="D102" s="93"/>
      <c r="E102" s="162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17"/>
      <c r="B103" s="17"/>
      <c r="C103" s="20" t="s">
        <v>215</v>
      </c>
      <c r="D103" s="46">
        <v>3000.0</v>
      </c>
      <c r="E103" s="16"/>
      <c r="F103" s="7"/>
      <c r="G103" s="132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17"/>
      <c r="B104" s="17"/>
      <c r="C104" s="20" t="s">
        <v>360</v>
      </c>
      <c r="D104" s="34">
        <v>0.02</v>
      </c>
      <c r="E104" s="16"/>
      <c r="F104" s="7"/>
      <c r="G104" s="132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7"/>
      <c r="B105" s="17"/>
      <c r="C105" s="20" t="s">
        <v>216</v>
      </c>
      <c r="D105" s="46">
        <f>D103*100/2</f>
        <v>150000</v>
      </c>
      <c r="E105" s="16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17"/>
      <c r="B106" s="17"/>
      <c r="C106" s="20" t="s">
        <v>222</v>
      </c>
      <c r="D106" s="14">
        <v>3.0</v>
      </c>
      <c r="E106" s="27" t="s">
        <v>223</v>
      </c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17"/>
      <c r="B107" s="17"/>
      <c r="C107" s="20" t="s">
        <v>213</v>
      </c>
      <c r="D107" s="51">
        <f>D105*D106</f>
        <v>450000</v>
      </c>
      <c r="E107" s="16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7"/>
      <c r="B108" s="17"/>
      <c r="C108" s="13" t="s">
        <v>228</v>
      </c>
      <c r="D108" s="8"/>
      <c r="E108" s="16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17"/>
      <c r="B109" s="16"/>
      <c r="C109" s="20" t="s">
        <v>229</v>
      </c>
      <c r="D109" s="127">
        <f>D91</f>
        <v>648000</v>
      </c>
      <c r="E109" s="16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7"/>
      <c r="B110" s="16"/>
      <c r="C110" s="20" t="s">
        <v>230</v>
      </c>
      <c r="D110" s="127">
        <f>D96</f>
        <v>7200000</v>
      </c>
      <c r="E110" s="16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7"/>
      <c r="B111" s="16"/>
      <c r="C111" s="20" t="s">
        <v>210</v>
      </c>
      <c r="D111" s="127">
        <f>D101</f>
        <v>900000</v>
      </c>
      <c r="E111" s="16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7"/>
      <c r="B112" s="16"/>
      <c r="C112" s="20" t="s">
        <v>213</v>
      </c>
      <c r="D112" s="127">
        <f>D107</f>
        <v>450000</v>
      </c>
      <c r="E112" s="16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7"/>
      <c r="B113" s="16"/>
      <c r="C113" s="20" t="s">
        <v>233</v>
      </c>
      <c r="D113" s="176">
        <f>SUM(D109:D112)</f>
        <v>9198000</v>
      </c>
      <c r="E113" s="16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17"/>
      <c r="B114" s="10" t="s">
        <v>175</v>
      </c>
      <c r="C114" s="13" t="s">
        <v>266</v>
      </c>
      <c r="D114" s="8"/>
      <c r="E114" s="16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7"/>
      <c r="B115" s="17"/>
      <c r="C115" s="20" t="s">
        <v>162</v>
      </c>
      <c r="D115" s="46">
        <v>1000.0</v>
      </c>
      <c r="E115" s="16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17"/>
      <c r="B116" s="17"/>
      <c r="C116" s="20" t="s">
        <v>267</v>
      </c>
      <c r="D116" s="34">
        <v>0.1</v>
      </c>
      <c r="E116" s="16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17"/>
      <c r="B117" s="17"/>
      <c r="C117" s="17" t="s">
        <v>144</v>
      </c>
      <c r="D117" s="34">
        <v>0.2</v>
      </c>
      <c r="E117" s="54"/>
      <c r="F117" s="7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7"/>
      <c r="B118" s="17"/>
      <c r="C118" s="17" t="s">
        <v>148</v>
      </c>
      <c r="D118" s="96">
        <f>D116*(1-D117)</f>
        <v>0.08</v>
      </c>
      <c r="E118" s="16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7"/>
      <c r="B119" s="17"/>
      <c r="C119" s="17" t="s">
        <v>149</v>
      </c>
      <c r="D119" s="19">
        <f>D115*(D116-D118)</f>
        <v>20</v>
      </c>
      <c r="E119" s="16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7"/>
      <c r="B120" s="17"/>
      <c r="C120" s="17" t="s">
        <v>269</v>
      </c>
      <c r="D120" s="14">
        <v>100000.0</v>
      </c>
      <c r="E120" s="16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7"/>
      <c r="B121" s="17"/>
      <c r="C121" s="17" t="s">
        <v>153</v>
      </c>
      <c r="D121" s="96">
        <v>0.18</v>
      </c>
      <c r="E121" s="16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7"/>
      <c r="B122" s="17"/>
      <c r="C122" s="17" t="s">
        <v>154</v>
      </c>
      <c r="D122" s="93">
        <f>D120*12*D121</f>
        <v>216000</v>
      </c>
      <c r="E122" s="16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7"/>
      <c r="B123" s="17"/>
      <c r="C123" s="20" t="s">
        <v>266</v>
      </c>
      <c r="D123" s="51">
        <f>D119*D122</f>
        <v>4320000</v>
      </c>
      <c r="E123" s="16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7"/>
      <c r="B124" s="17"/>
      <c r="C124" s="13" t="s">
        <v>161</v>
      </c>
      <c r="D124" s="8"/>
      <c r="E124" s="16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7"/>
      <c r="B125" s="17"/>
      <c r="C125" s="20" t="s">
        <v>162</v>
      </c>
      <c r="D125" s="46">
        <v>1000.0</v>
      </c>
      <c r="E125" s="16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7"/>
      <c r="B126" s="17"/>
      <c r="C126" s="20" t="s">
        <v>164</v>
      </c>
      <c r="D126" s="14">
        <v>100000.0</v>
      </c>
      <c r="E126" s="16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7"/>
      <c r="B127" s="17"/>
      <c r="C127" s="20" t="s">
        <v>167</v>
      </c>
      <c r="D127" s="14">
        <f>D125*D126</f>
        <v>100000000</v>
      </c>
      <c r="E127" s="16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7"/>
      <c r="B128" s="17"/>
      <c r="C128" s="20" t="s">
        <v>271</v>
      </c>
      <c r="D128" s="34">
        <v>0.02</v>
      </c>
      <c r="E128" s="54"/>
      <c r="F128" s="160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7"/>
      <c r="B129" s="17"/>
      <c r="C129" s="20" t="s">
        <v>272</v>
      </c>
      <c r="D129" s="46">
        <v>2.0</v>
      </c>
      <c r="E129" s="54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7"/>
      <c r="B130" s="17"/>
      <c r="C130" s="20" t="s">
        <v>161</v>
      </c>
      <c r="D130" s="176">
        <f>D127*D128*D129</f>
        <v>4000000</v>
      </c>
      <c r="E130" s="16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7"/>
      <c r="B131" s="17"/>
      <c r="C131" s="13" t="s">
        <v>273</v>
      </c>
      <c r="D131" s="17"/>
      <c r="E131" s="16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7"/>
      <c r="B132" s="17"/>
      <c r="C132" s="20" t="s">
        <v>162</v>
      </c>
      <c r="D132" s="46">
        <v>1000.0</v>
      </c>
      <c r="E132" s="16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7"/>
      <c r="B133" s="17"/>
      <c r="C133" s="20" t="s">
        <v>276</v>
      </c>
      <c r="D133" s="46">
        <v>100.0</v>
      </c>
      <c r="E133" s="16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7"/>
      <c r="B134" s="17"/>
      <c r="C134" s="20" t="s">
        <v>278</v>
      </c>
      <c r="D134" s="14">
        <v>20000.0</v>
      </c>
      <c r="E134" s="27" t="s">
        <v>279</v>
      </c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7"/>
      <c r="B135" s="17"/>
      <c r="C135" s="20" t="s">
        <v>280</v>
      </c>
      <c r="D135" s="51">
        <f>D133*D134</f>
        <v>2000000</v>
      </c>
      <c r="E135" s="16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7"/>
      <c r="B136" s="17"/>
      <c r="C136" s="13" t="s">
        <v>186</v>
      </c>
      <c r="D136" s="17"/>
      <c r="E136" s="16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7"/>
      <c r="B137" s="17"/>
      <c r="C137" s="20" t="s">
        <v>284</v>
      </c>
      <c r="D137" s="22">
        <v>1000.0</v>
      </c>
      <c r="E137" s="16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7"/>
      <c r="B138" s="17"/>
      <c r="C138" s="20" t="s">
        <v>286</v>
      </c>
      <c r="D138" s="34">
        <v>0.5</v>
      </c>
      <c r="E138" s="16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7"/>
      <c r="B139" s="17"/>
      <c r="C139" s="17" t="s">
        <v>182</v>
      </c>
      <c r="D139" s="22">
        <f>D137*D138</f>
        <v>500</v>
      </c>
      <c r="E139" s="16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7"/>
      <c r="B140" s="17"/>
      <c r="C140" s="17" t="s">
        <v>188</v>
      </c>
      <c r="D140" s="22">
        <v>25.0</v>
      </c>
      <c r="E140" s="16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7"/>
      <c r="B141" s="17"/>
      <c r="C141" s="20" t="s">
        <v>288</v>
      </c>
      <c r="D141" s="14">
        <v>2500.0</v>
      </c>
      <c r="E141" s="16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7"/>
      <c r="B142" s="17"/>
      <c r="C142" s="17" t="s">
        <v>192</v>
      </c>
      <c r="D142" s="51">
        <f>D139*D140*D141</f>
        <v>31250000</v>
      </c>
      <c r="E142" s="16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7"/>
      <c r="B143" s="17"/>
      <c r="C143" s="13" t="s">
        <v>291</v>
      </c>
      <c r="D143" s="8"/>
      <c r="E143" s="16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7"/>
      <c r="B144" s="17"/>
      <c r="C144" s="20" t="s">
        <v>266</v>
      </c>
      <c r="D144" s="14">
        <f>D123</f>
        <v>4320000</v>
      </c>
      <c r="E144" s="16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7"/>
      <c r="B145" s="17"/>
      <c r="C145" s="20" t="s">
        <v>161</v>
      </c>
      <c r="D145" s="127">
        <f>D130</f>
        <v>4000000</v>
      </c>
      <c r="E145" s="27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7"/>
      <c r="B146" s="17"/>
      <c r="C146" s="20" t="s">
        <v>280</v>
      </c>
      <c r="D146" s="14">
        <f>D135</f>
        <v>2000000</v>
      </c>
      <c r="E146" s="16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93"/>
      <c r="B147" s="16"/>
      <c r="C147" s="17" t="s">
        <v>192</v>
      </c>
      <c r="D147" s="14">
        <f>D142</f>
        <v>31250000</v>
      </c>
      <c r="E147" s="16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93"/>
      <c r="B148" s="16"/>
      <c r="C148" s="20" t="s">
        <v>291</v>
      </c>
      <c r="D148" s="176">
        <f>SUM(D144:D147)</f>
        <v>41570000</v>
      </c>
      <c r="E148" s="16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93" t="s">
        <v>296</v>
      </c>
      <c r="B149" s="10" t="s">
        <v>297</v>
      </c>
      <c r="C149" s="13" t="s">
        <v>298</v>
      </c>
      <c r="D149" s="51"/>
      <c r="E149" s="16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20"/>
      <c r="B150" s="213"/>
      <c r="C150" s="165" t="s">
        <v>299</v>
      </c>
      <c r="D150" s="46">
        <v>50.0</v>
      </c>
      <c r="E150" s="27" t="s">
        <v>67</v>
      </c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20"/>
      <c r="B151" s="213"/>
      <c r="C151" s="165" t="s">
        <v>300</v>
      </c>
      <c r="D151" s="46">
        <v>100.0</v>
      </c>
      <c r="E151" s="16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20"/>
      <c r="B152" s="213"/>
      <c r="C152" s="165" t="s">
        <v>301</v>
      </c>
      <c r="D152" s="46">
        <f>D150*D151</f>
        <v>5000</v>
      </c>
      <c r="E152" s="16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20"/>
      <c r="B153" s="17"/>
      <c r="C153" s="165" t="s">
        <v>304</v>
      </c>
      <c r="D153" s="14">
        <v>1400.0</v>
      </c>
      <c r="E153" s="27" t="s">
        <v>305</v>
      </c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20"/>
      <c r="B154" s="17"/>
      <c r="C154" s="165" t="s">
        <v>308</v>
      </c>
      <c r="D154" s="14">
        <f>D152*D153</f>
        <v>7000000</v>
      </c>
      <c r="E154" s="16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20"/>
      <c r="B155" s="17"/>
      <c r="C155" s="165" t="s">
        <v>310</v>
      </c>
      <c r="D155" s="34">
        <v>0.1</v>
      </c>
      <c r="E155" s="16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7"/>
      <c r="B156" s="17"/>
      <c r="C156" s="165" t="s">
        <v>312</v>
      </c>
      <c r="D156" s="51">
        <f>D154*D155</f>
        <v>700000</v>
      </c>
      <c r="E156" s="16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7"/>
      <c r="B157" s="17"/>
      <c r="C157" s="17"/>
      <c r="D157" s="8"/>
      <c r="E157" s="16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7"/>
      <c r="B158" s="17"/>
      <c r="C158" s="13" t="s">
        <v>315</v>
      </c>
      <c r="D158" s="8"/>
      <c r="E158" s="16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7"/>
      <c r="B159" s="17"/>
      <c r="C159" s="20" t="s">
        <v>316</v>
      </c>
      <c r="D159" s="14">
        <f>D154</f>
        <v>7000000</v>
      </c>
      <c r="E159" s="27" t="s">
        <v>67</v>
      </c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7"/>
      <c r="B160" s="17"/>
      <c r="C160" s="17" t="s">
        <v>27</v>
      </c>
      <c r="D160" s="96">
        <f>(13%+30%+1/12+1/12/2+1/12/2)</f>
        <v>0.5966666667</v>
      </c>
      <c r="E160" s="27" t="s">
        <v>36</v>
      </c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7"/>
      <c r="B161" s="17"/>
      <c r="C161" s="17" t="s">
        <v>318</v>
      </c>
      <c r="D161" s="93">
        <f>D159*(1+D160)</f>
        <v>11176666.67</v>
      </c>
      <c r="E161" s="16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7"/>
      <c r="B162" s="17"/>
      <c r="C162" s="20" t="s">
        <v>319</v>
      </c>
      <c r="D162" s="219">
        <f>D153</f>
        <v>1400</v>
      </c>
      <c r="E162" s="27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7"/>
      <c r="B163" s="17"/>
      <c r="C163" s="20" t="s">
        <v>320</v>
      </c>
      <c r="D163" s="19">
        <v>3.0</v>
      </c>
      <c r="E163" s="16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06"/>
      <c r="B164" s="17"/>
      <c r="C164" s="17" t="s">
        <v>322</v>
      </c>
      <c r="D164" s="96">
        <v>0.3</v>
      </c>
      <c r="E164" s="16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7"/>
      <c r="B165" s="17"/>
      <c r="C165" s="17" t="s">
        <v>323</v>
      </c>
      <c r="D165" s="51">
        <f>D161*D162*D163*D164</f>
        <v>14082600000</v>
      </c>
      <c r="E165" s="16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17"/>
      <c r="B166" s="17"/>
      <c r="C166" s="17"/>
      <c r="D166" s="8"/>
      <c r="E166" s="16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17"/>
      <c r="B167" s="17"/>
      <c r="C167" s="17"/>
      <c r="D167" s="8"/>
      <c r="E167" s="16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17"/>
      <c r="B168" s="17"/>
      <c r="C168" s="13" t="s">
        <v>326</v>
      </c>
      <c r="D168" s="8"/>
      <c r="E168" s="16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17"/>
      <c r="B169" s="17"/>
      <c r="C169" s="20" t="s">
        <v>162</v>
      </c>
      <c r="D169" s="46">
        <v>1000.0</v>
      </c>
      <c r="E169" s="16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17"/>
      <c r="B170" s="17"/>
      <c r="C170" s="20" t="s">
        <v>328</v>
      </c>
      <c r="D170" s="14">
        <v>15000.0</v>
      </c>
      <c r="E170" s="16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17"/>
      <c r="B171" s="17"/>
      <c r="C171" s="20" t="s">
        <v>329</v>
      </c>
      <c r="D171" s="14">
        <f>D169*D170</f>
        <v>15000000</v>
      </c>
      <c r="E171" s="16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17"/>
      <c r="B172" s="17"/>
      <c r="C172" s="20" t="s">
        <v>330</v>
      </c>
      <c r="D172" s="51">
        <f>D171</f>
        <v>15000000</v>
      </c>
      <c r="E172" s="16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17"/>
      <c r="B173" s="17"/>
      <c r="C173" s="17"/>
      <c r="D173" s="8"/>
      <c r="E173" s="16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17"/>
      <c r="B174" s="17"/>
      <c r="C174" s="17"/>
      <c r="D174" s="8"/>
      <c r="E174" s="16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17"/>
      <c r="B175" s="17"/>
      <c r="C175" s="17"/>
      <c r="D175" s="8"/>
      <c r="E175" s="16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17"/>
      <c r="B176" s="17"/>
      <c r="C176" s="17"/>
      <c r="D176" s="8"/>
      <c r="E176" s="16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17"/>
      <c r="B177" s="17"/>
      <c r="C177" s="17"/>
      <c r="D177" s="8"/>
      <c r="E177" s="16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17"/>
      <c r="B178" s="17"/>
      <c r="C178" s="17"/>
      <c r="D178" s="8"/>
      <c r="E178" s="16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17"/>
      <c r="B179" s="17"/>
      <c r="C179" s="17"/>
      <c r="D179" s="8"/>
      <c r="E179" s="16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17"/>
      <c r="B180" s="17"/>
      <c r="C180" s="17"/>
      <c r="D180" s="8"/>
      <c r="E180" s="16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17"/>
      <c r="B181" s="17"/>
      <c r="C181" s="17"/>
      <c r="D181" s="8"/>
      <c r="E181" s="16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17"/>
      <c r="B182" s="17"/>
      <c r="C182" s="17"/>
      <c r="D182" s="8"/>
      <c r="E182" s="16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17"/>
      <c r="B183" s="17"/>
      <c r="C183" s="17"/>
      <c r="D183" s="8"/>
      <c r="E183" s="16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17"/>
      <c r="B184" s="17"/>
      <c r="C184" s="17"/>
      <c r="D184" s="8"/>
      <c r="E184" s="16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17"/>
      <c r="B185" s="17"/>
      <c r="C185" s="17"/>
      <c r="D185" s="8"/>
      <c r="E185" s="16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17"/>
      <c r="B186" s="17"/>
      <c r="C186" s="17"/>
      <c r="D186" s="8"/>
      <c r="E186" s="16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7"/>
      <c r="B187" s="17"/>
      <c r="C187" s="17"/>
      <c r="D187" s="8"/>
      <c r="E187" s="16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7"/>
      <c r="B188" s="17"/>
      <c r="C188" s="17"/>
      <c r="D188" s="8"/>
      <c r="E188" s="16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17"/>
      <c r="B189" s="17"/>
      <c r="C189" s="17"/>
      <c r="D189" s="8"/>
      <c r="E189" s="16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17"/>
      <c r="B190" s="17"/>
      <c r="C190" s="17"/>
      <c r="D190" s="8"/>
      <c r="E190" s="16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17"/>
      <c r="B191" s="17"/>
      <c r="C191" s="17"/>
      <c r="D191" s="8"/>
      <c r="E191" s="16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17"/>
      <c r="B192" s="17"/>
      <c r="C192" s="17"/>
      <c r="D192" s="8"/>
      <c r="E192" s="16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7"/>
      <c r="B193" s="17"/>
      <c r="C193" s="17"/>
      <c r="D193" s="8"/>
      <c r="E193" s="16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7"/>
      <c r="B194" s="17"/>
      <c r="C194" s="17"/>
      <c r="D194" s="8"/>
      <c r="E194" s="16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7"/>
      <c r="B195" s="17"/>
      <c r="C195" s="17"/>
      <c r="D195" s="8"/>
      <c r="E195" s="16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7"/>
      <c r="B196" s="17"/>
      <c r="C196" s="17"/>
      <c r="D196" s="8"/>
      <c r="E196" s="16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7"/>
      <c r="B197" s="17"/>
      <c r="C197" s="17"/>
      <c r="D197" s="8"/>
      <c r="E197" s="16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7"/>
      <c r="B198" s="17"/>
      <c r="C198" s="17"/>
      <c r="D198" s="8"/>
      <c r="E198" s="16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7"/>
      <c r="B199" s="17"/>
      <c r="C199" s="17"/>
      <c r="D199" s="8"/>
      <c r="E199" s="16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7"/>
      <c r="B200" s="17"/>
      <c r="C200" s="17"/>
      <c r="D200" s="8"/>
      <c r="E200" s="16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7"/>
      <c r="B201" s="17"/>
      <c r="C201" s="17"/>
      <c r="D201" s="8"/>
      <c r="E201" s="16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17"/>
      <c r="B202" s="17"/>
      <c r="C202" s="17"/>
      <c r="D202" s="8"/>
      <c r="E202" s="16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17"/>
      <c r="B203" s="17"/>
      <c r="C203" s="17"/>
      <c r="D203" s="8"/>
      <c r="E203" s="16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7"/>
      <c r="B204" s="17"/>
      <c r="C204" s="17"/>
      <c r="D204" s="8"/>
      <c r="E204" s="16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7"/>
      <c r="B205" s="17"/>
      <c r="C205" s="17"/>
      <c r="D205" s="8"/>
      <c r="E205" s="16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17"/>
      <c r="B206" s="17"/>
      <c r="C206" s="17"/>
      <c r="D206" s="8"/>
      <c r="E206" s="16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17"/>
      <c r="B207" s="17"/>
      <c r="C207" s="17"/>
      <c r="D207" s="8"/>
      <c r="E207" s="16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7"/>
      <c r="B208" s="17"/>
      <c r="C208" s="17"/>
      <c r="D208" s="8"/>
      <c r="E208" s="16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7"/>
      <c r="B209" s="17"/>
      <c r="C209" s="17"/>
      <c r="D209" s="8"/>
      <c r="E209" s="16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17"/>
      <c r="B210" s="17"/>
      <c r="C210" s="17"/>
      <c r="D210" s="8"/>
      <c r="E210" s="16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17"/>
      <c r="B211" s="17"/>
      <c r="C211" s="17"/>
      <c r="D211" s="8"/>
      <c r="E211" s="16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17"/>
      <c r="B212" s="17"/>
      <c r="C212" s="17"/>
      <c r="D212" s="8"/>
      <c r="E212" s="16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7"/>
      <c r="B213" s="17"/>
      <c r="C213" s="17"/>
      <c r="D213" s="8"/>
      <c r="E213" s="16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7"/>
      <c r="B214" s="17"/>
      <c r="C214" s="17"/>
      <c r="D214" s="8"/>
      <c r="E214" s="16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7"/>
      <c r="B215" s="17"/>
      <c r="C215" s="17"/>
      <c r="D215" s="8"/>
      <c r="E215" s="16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17"/>
      <c r="B216" s="17"/>
      <c r="C216" s="17"/>
      <c r="D216" s="8"/>
      <c r="E216" s="16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17"/>
      <c r="B217" s="17"/>
      <c r="C217" s="17"/>
      <c r="D217" s="8"/>
      <c r="E217" s="16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17"/>
      <c r="B218" s="17"/>
      <c r="C218" s="17"/>
      <c r="D218" s="8"/>
      <c r="E218" s="16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17"/>
      <c r="B219" s="17"/>
      <c r="C219" s="17"/>
      <c r="D219" s="8"/>
      <c r="E219" s="16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17"/>
      <c r="B220" s="17"/>
      <c r="C220" s="17"/>
      <c r="D220" s="8"/>
      <c r="E220" s="16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7"/>
      <c r="B221" s="17"/>
      <c r="C221" s="17"/>
      <c r="D221" s="8"/>
      <c r="E221" s="16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17"/>
      <c r="B222" s="17"/>
      <c r="C222" s="17"/>
      <c r="D222" s="8"/>
      <c r="E222" s="16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17"/>
      <c r="B223" s="17"/>
      <c r="C223" s="17"/>
      <c r="D223" s="8"/>
      <c r="E223" s="16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17"/>
      <c r="B224" s="17"/>
      <c r="C224" s="17"/>
      <c r="D224" s="8"/>
      <c r="E224" s="16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7"/>
      <c r="B225" s="17"/>
      <c r="C225" s="17"/>
      <c r="D225" s="8"/>
      <c r="E225" s="16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17"/>
      <c r="B226" s="17"/>
      <c r="C226" s="17"/>
      <c r="D226" s="8"/>
      <c r="E226" s="16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7"/>
      <c r="B227" s="17"/>
      <c r="C227" s="17"/>
      <c r="D227" s="8"/>
      <c r="E227" s="16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7"/>
      <c r="B228" s="17"/>
      <c r="C228" s="17"/>
      <c r="D228" s="8"/>
      <c r="E228" s="16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7"/>
      <c r="B229" s="17"/>
      <c r="C229" s="17"/>
      <c r="D229" s="8"/>
      <c r="E229" s="16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7"/>
      <c r="B230" s="17"/>
      <c r="C230" s="17"/>
      <c r="D230" s="8"/>
      <c r="E230" s="16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17"/>
      <c r="B231" s="17"/>
      <c r="C231" s="17"/>
      <c r="D231" s="8"/>
      <c r="E231" s="16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7"/>
      <c r="B232" s="17"/>
      <c r="C232" s="17"/>
      <c r="D232" s="8"/>
      <c r="E232" s="16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17"/>
      <c r="B233" s="17"/>
      <c r="C233" s="17"/>
      <c r="D233" s="8"/>
      <c r="E233" s="16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7"/>
      <c r="B234" s="17"/>
      <c r="C234" s="17"/>
      <c r="D234" s="8"/>
      <c r="E234" s="16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7"/>
      <c r="B235" s="17"/>
      <c r="C235" s="17"/>
      <c r="D235" s="8"/>
      <c r="E235" s="16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7"/>
      <c r="B236" s="17"/>
      <c r="C236" s="17"/>
      <c r="D236" s="8"/>
      <c r="E236" s="16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7"/>
      <c r="B237" s="17"/>
      <c r="C237" s="17"/>
      <c r="D237" s="8"/>
      <c r="E237" s="16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17"/>
      <c r="B238" s="17"/>
      <c r="C238" s="17"/>
      <c r="D238" s="8"/>
      <c r="E238" s="16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17"/>
      <c r="B239" s="17"/>
      <c r="C239" s="17"/>
      <c r="D239" s="8"/>
      <c r="E239" s="16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17"/>
      <c r="B240" s="17"/>
      <c r="C240" s="17"/>
      <c r="D240" s="8"/>
      <c r="E240" s="16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17"/>
      <c r="B241" s="17"/>
      <c r="C241" s="17"/>
      <c r="D241" s="8"/>
      <c r="E241" s="16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7"/>
      <c r="B242" s="17"/>
      <c r="C242" s="17"/>
      <c r="D242" s="8"/>
      <c r="E242" s="16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7"/>
      <c r="B243" s="17"/>
      <c r="C243" s="17"/>
      <c r="D243" s="8"/>
      <c r="E243" s="16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7"/>
      <c r="B244" s="17"/>
      <c r="C244" s="17"/>
      <c r="D244" s="8"/>
      <c r="E244" s="16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7"/>
      <c r="B245" s="17"/>
      <c r="C245" s="17"/>
      <c r="D245" s="8"/>
      <c r="E245" s="16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7"/>
      <c r="B246" s="17"/>
      <c r="C246" s="17"/>
      <c r="D246" s="8"/>
      <c r="E246" s="16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7"/>
      <c r="B247" s="17"/>
      <c r="C247" s="17"/>
      <c r="D247" s="8"/>
      <c r="E247" s="16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7"/>
      <c r="B248" s="17"/>
      <c r="C248" s="17"/>
      <c r="D248" s="8"/>
      <c r="E248" s="16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17"/>
      <c r="B249" s="17"/>
      <c r="C249" s="17"/>
      <c r="D249" s="8"/>
      <c r="E249" s="16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17"/>
      <c r="B250" s="17"/>
      <c r="C250" s="17"/>
      <c r="D250" s="8"/>
      <c r="E250" s="16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17"/>
      <c r="B251" s="17"/>
      <c r="C251" s="17"/>
      <c r="D251" s="8"/>
      <c r="E251" s="16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7"/>
      <c r="B252" s="17"/>
      <c r="C252" s="17"/>
      <c r="D252" s="8"/>
      <c r="E252" s="16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7"/>
      <c r="B253" s="17"/>
      <c r="C253" s="17"/>
      <c r="D253" s="8"/>
      <c r="E253" s="16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7"/>
      <c r="B254" s="17"/>
      <c r="C254" s="17"/>
      <c r="D254" s="8"/>
      <c r="E254" s="16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17"/>
      <c r="B255" s="17"/>
      <c r="C255" s="17"/>
      <c r="D255" s="8"/>
      <c r="E255" s="16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7"/>
      <c r="B256" s="17"/>
      <c r="C256" s="17"/>
      <c r="D256" s="8"/>
      <c r="E256" s="16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7"/>
      <c r="B257" s="17"/>
      <c r="C257" s="17"/>
      <c r="D257" s="8"/>
      <c r="E257" s="16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7"/>
      <c r="B258" s="17"/>
      <c r="C258" s="17"/>
      <c r="D258" s="8"/>
      <c r="E258" s="16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17"/>
      <c r="B259" s="17"/>
      <c r="C259" s="17"/>
      <c r="D259" s="8"/>
      <c r="E259" s="16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17"/>
      <c r="B260" s="17"/>
      <c r="C260" s="17"/>
      <c r="D260" s="8"/>
      <c r="E260" s="16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17"/>
      <c r="B261" s="17"/>
      <c r="C261" s="17"/>
      <c r="D261" s="8"/>
      <c r="E261" s="16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17"/>
      <c r="B262" s="17"/>
      <c r="C262" s="17"/>
      <c r="D262" s="8"/>
      <c r="E262" s="16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7"/>
      <c r="B263" s="17"/>
      <c r="C263" s="17"/>
      <c r="D263" s="8"/>
      <c r="E263" s="16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7"/>
      <c r="B264" s="17"/>
      <c r="C264" s="17"/>
      <c r="D264" s="8"/>
      <c r="E264" s="16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7"/>
      <c r="B265" s="17"/>
      <c r="C265" s="17"/>
      <c r="D265" s="8"/>
      <c r="E265" s="16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17"/>
      <c r="B266" s="17"/>
      <c r="C266" s="17"/>
      <c r="D266" s="8"/>
      <c r="E266" s="16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17"/>
      <c r="B267" s="17"/>
      <c r="C267" s="17"/>
      <c r="D267" s="8"/>
      <c r="E267" s="16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17"/>
      <c r="B268" s="17"/>
      <c r="C268" s="17"/>
      <c r="D268" s="8"/>
      <c r="E268" s="16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7"/>
      <c r="B269" s="17"/>
      <c r="C269" s="17"/>
      <c r="D269" s="8"/>
      <c r="E269" s="16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7"/>
      <c r="B270" s="17"/>
      <c r="C270" s="17"/>
      <c r="D270" s="8"/>
      <c r="E270" s="16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7"/>
      <c r="B271" s="17"/>
      <c r="C271" s="17"/>
      <c r="D271" s="8"/>
      <c r="E271" s="16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7"/>
      <c r="B272" s="17"/>
      <c r="C272" s="17"/>
      <c r="D272" s="8"/>
      <c r="E272" s="16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17"/>
      <c r="B273" s="17"/>
      <c r="C273" s="17"/>
      <c r="D273" s="8"/>
      <c r="E273" s="16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17"/>
      <c r="B274" s="17"/>
      <c r="C274" s="17"/>
      <c r="D274" s="8"/>
      <c r="E274" s="16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17"/>
      <c r="B275" s="17"/>
      <c r="C275" s="17"/>
      <c r="D275" s="8"/>
      <c r="E275" s="16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17"/>
      <c r="B276" s="17"/>
      <c r="C276" s="17"/>
      <c r="D276" s="8"/>
      <c r="E276" s="16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17"/>
      <c r="B277" s="17"/>
      <c r="C277" s="17"/>
      <c r="D277" s="8"/>
      <c r="E277" s="16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17"/>
      <c r="B278" s="17"/>
      <c r="C278" s="17"/>
      <c r="D278" s="8"/>
      <c r="E278" s="16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17"/>
      <c r="B279" s="17"/>
      <c r="C279" s="17"/>
      <c r="D279" s="8"/>
      <c r="E279" s="16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17"/>
      <c r="B280" s="17"/>
      <c r="C280" s="17"/>
      <c r="D280" s="8"/>
      <c r="E280" s="16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17"/>
      <c r="B281" s="17"/>
      <c r="C281" s="17"/>
      <c r="D281" s="8"/>
      <c r="E281" s="16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17"/>
      <c r="B282" s="17"/>
      <c r="C282" s="17"/>
      <c r="D282" s="8"/>
      <c r="E282" s="16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17"/>
      <c r="B283" s="17"/>
      <c r="C283" s="17"/>
      <c r="D283" s="8"/>
      <c r="E283" s="16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17"/>
      <c r="B284" s="17"/>
      <c r="C284" s="17"/>
      <c r="D284" s="8"/>
      <c r="E284" s="16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17"/>
      <c r="B285" s="17"/>
      <c r="C285" s="17"/>
      <c r="D285" s="8"/>
      <c r="E285" s="16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17"/>
      <c r="B286" s="17"/>
      <c r="C286" s="17"/>
      <c r="D286" s="8"/>
      <c r="E286" s="16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17"/>
      <c r="B287" s="17"/>
      <c r="C287" s="17"/>
      <c r="D287" s="8"/>
      <c r="E287" s="16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17"/>
      <c r="B288" s="17"/>
      <c r="C288" s="17"/>
      <c r="D288" s="8"/>
      <c r="E288" s="16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17"/>
      <c r="B289" s="17"/>
      <c r="C289" s="17"/>
      <c r="D289" s="8"/>
      <c r="E289" s="16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17"/>
      <c r="B290" s="17"/>
      <c r="C290" s="17"/>
      <c r="D290" s="8"/>
      <c r="E290" s="16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17"/>
      <c r="B291" s="17"/>
      <c r="C291" s="17"/>
      <c r="D291" s="8"/>
      <c r="E291" s="16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17"/>
      <c r="B292" s="17"/>
      <c r="C292" s="17"/>
      <c r="D292" s="8"/>
      <c r="E292" s="16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17"/>
      <c r="B293" s="17"/>
      <c r="C293" s="17"/>
      <c r="D293" s="8"/>
      <c r="E293" s="16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17"/>
      <c r="B294" s="17"/>
      <c r="C294" s="17"/>
      <c r="D294" s="8"/>
      <c r="E294" s="16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17"/>
      <c r="B295" s="17"/>
      <c r="C295" s="17"/>
      <c r="D295" s="8"/>
      <c r="E295" s="16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17"/>
      <c r="B296" s="17"/>
      <c r="C296" s="17"/>
      <c r="D296" s="8"/>
      <c r="E296" s="16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17"/>
      <c r="B297" s="17"/>
      <c r="C297" s="17"/>
      <c r="D297" s="8"/>
      <c r="E297" s="16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17"/>
      <c r="B298" s="17"/>
      <c r="C298" s="17"/>
      <c r="D298" s="8"/>
      <c r="E298" s="16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17"/>
      <c r="B299" s="17"/>
      <c r="C299" s="17"/>
      <c r="D299" s="8"/>
      <c r="E299" s="16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17"/>
      <c r="B300" s="17"/>
      <c r="C300" s="17"/>
      <c r="D300" s="8"/>
      <c r="E300" s="16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17"/>
      <c r="B301" s="17"/>
      <c r="C301" s="17"/>
      <c r="D301" s="8"/>
      <c r="E301" s="16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17"/>
      <c r="B302" s="17"/>
      <c r="C302" s="17"/>
      <c r="D302" s="8"/>
      <c r="E302" s="16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17"/>
      <c r="B303" s="17"/>
      <c r="C303" s="17"/>
      <c r="D303" s="8"/>
      <c r="E303" s="16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17"/>
      <c r="B304" s="17"/>
      <c r="C304" s="17"/>
      <c r="D304" s="8"/>
      <c r="E304" s="16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17"/>
      <c r="B305" s="17"/>
      <c r="C305" s="17"/>
      <c r="D305" s="8"/>
      <c r="E305" s="16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17"/>
      <c r="B306" s="17"/>
      <c r="C306" s="17"/>
      <c r="D306" s="8"/>
      <c r="E306" s="16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17"/>
      <c r="B307" s="17"/>
      <c r="C307" s="17"/>
      <c r="D307" s="8"/>
      <c r="E307" s="16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17"/>
      <c r="B308" s="17"/>
      <c r="C308" s="17"/>
      <c r="D308" s="8"/>
      <c r="E308" s="16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17"/>
      <c r="B309" s="17"/>
      <c r="C309" s="17"/>
      <c r="D309" s="8"/>
      <c r="E309" s="16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17"/>
      <c r="B310" s="17"/>
      <c r="C310" s="17"/>
      <c r="D310" s="8"/>
      <c r="E310" s="16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17"/>
      <c r="B311" s="17"/>
      <c r="C311" s="17"/>
      <c r="D311" s="8"/>
      <c r="E311" s="16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17"/>
      <c r="B312" s="17"/>
      <c r="C312" s="17"/>
      <c r="D312" s="8"/>
      <c r="E312" s="16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17"/>
      <c r="B313" s="17"/>
      <c r="C313" s="17"/>
      <c r="D313" s="8"/>
      <c r="E313" s="16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17"/>
      <c r="B314" s="17"/>
      <c r="C314" s="17"/>
      <c r="D314" s="8"/>
      <c r="E314" s="16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17"/>
      <c r="B315" s="17"/>
      <c r="C315" s="17"/>
      <c r="D315" s="8"/>
      <c r="E315" s="16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17"/>
      <c r="B316" s="17"/>
      <c r="C316" s="17"/>
      <c r="D316" s="8"/>
      <c r="E316" s="16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17"/>
      <c r="B317" s="17"/>
      <c r="C317" s="17"/>
      <c r="D317" s="8"/>
      <c r="E317" s="16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17"/>
      <c r="B318" s="17"/>
      <c r="C318" s="17"/>
      <c r="D318" s="8"/>
      <c r="E318" s="16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17"/>
      <c r="B319" s="17"/>
      <c r="C319" s="17"/>
      <c r="D319" s="8"/>
      <c r="E319" s="16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17"/>
      <c r="B320" s="17"/>
      <c r="C320" s="17"/>
      <c r="D320" s="8"/>
      <c r="E320" s="16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7"/>
      <c r="B321" s="17"/>
      <c r="C321" s="17"/>
      <c r="D321" s="8"/>
      <c r="E321" s="16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17"/>
      <c r="B322" s="17"/>
      <c r="C322" s="17"/>
      <c r="D322" s="8"/>
      <c r="E322" s="16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17"/>
      <c r="B323" s="17"/>
      <c r="C323" s="17"/>
      <c r="D323" s="8"/>
      <c r="E323" s="16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17"/>
      <c r="B324" s="17"/>
      <c r="C324" s="17"/>
      <c r="D324" s="8"/>
      <c r="E324" s="16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17"/>
      <c r="B325" s="17"/>
      <c r="C325" s="17"/>
      <c r="D325" s="8"/>
      <c r="E325" s="16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17"/>
      <c r="B326" s="17"/>
      <c r="C326" s="17"/>
      <c r="D326" s="8"/>
      <c r="E326" s="16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17"/>
      <c r="B327" s="17"/>
      <c r="C327" s="17"/>
      <c r="D327" s="8"/>
      <c r="E327" s="16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17"/>
      <c r="B328" s="17"/>
      <c r="C328" s="17"/>
      <c r="D328" s="8"/>
      <c r="E328" s="16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17"/>
      <c r="B329" s="17"/>
      <c r="C329" s="17"/>
      <c r="D329" s="8"/>
      <c r="E329" s="16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17"/>
      <c r="B330" s="17"/>
      <c r="C330" s="17"/>
      <c r="D330" s="8"/>
      <c r="E330" s="16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17"/>
      <c r="B331" s="17"/>
      <c r="C331" s="17"/>
      <c r="D331" s="8"/>
      <c r="E331" s="16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17"/>
      <c r="B332" s="17"/>
      <c r="C332" s="17"/>
      <c r="D332" s="8"/>
      <c r="E332" s="16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17"/>
      <c r="B333" s="17"/>
      <c r="C333" s="17"/>
      <c r="D333" s="8"/>
      <c r="E333" s="16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17"/>
      <c r="B334" s="17"/>
      <c r="C334" s="17"/>
      <c r="D334" s="8"/>
      <c r="E334" s="16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17"/>
      <c r="B335" s="17"/>
      <c r="C335" s="17"/>
      <c r="D335" s="8"/>
      <c r="E335" s="16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17"/>
      <c r="B336" s="17"/>
      <c r="C336" s="17"/>
      <c r="D336" s="8"/>
      <c r="E336" s="16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17"/>
      <c r="B337" s="17"/>
      <c r="C337" s="17"/>
      <c r="D337" s="8"/>
      <c r="E337" s="16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17"/>
      <c r="B338" s="17"/>
      <c r="C338" s="17"/>
      <c r="D338" s="8"/>
      <c r="E338" s="16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17"/>
      <c r="B339" s="17"/>
      <c r="C339" s="17"/>
      <c r="D339" s="8"/>
      <c r="E339" s="16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17"/>
      <c r="B340" s="17"/>
      <c r="C340" s="17"/>
      <c r="D340" s="8"/>
      <c r="E340" s="16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17"/>
      <c r="B341" s="17"/>
      <c r="C341" s="17"/>
      <c r="D341" s="8"/>
      <c r="E341" s="16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17"/>
      <c r="B342" s="17"/>
      <c r="C342" s="17"/>
      <c r="D342" s="8"/>
      <c r="E342" s="16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17"/>
      <c r="B343" s="17"/>
      <c r="C343" s="17"/>
      <c r="D343" s="8"/>
      <c r="E343" s="16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17"/>
      <c r="B344" s="17"/>
      <c r="C344" s="17"/>
      <c r="D344" s="8"/>
      <c r="E344" s="16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17"/>
      <c r="B345" s="17"/>
      <c r="C345" s="17"/>
      <c r="D345" s="8"/>
      <c r="E345" s="16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17"/>
      <c r="B346" s="17"/>
      <c r="C346" s="17"/>
      <c r="D346" s="8"/>
      <c r="E346" s="16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17"/>
      <c r="B347" s="17"/>
      <c r="C347" s="17"/>
      <c r="D347" s="8"/>
      <c r="E347" s="16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17"/>
      <c r="B348" s="17"/>
      <c r="C348" s="17"/>
      <c r="D348" s="8"/>
      <c r="E348" s="16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17"/>
      <c r="B349" s="17"/>
      <c r="C349" s="17"/>
      <c r="D349" s="8"/>
      <c r="E349" s="16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17"/>
      <c r="B350" s="17"/>
      <c r="C350" s="17"/>
      <c r="D350" s="8"/>
      <c r="E350" s="16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17"/>
      <c r="B351" s="17"/>
      <c r="C351" s="17"/>
      <c r="D351" s="8"/>
      <c r="E351" s="16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17"/>
      <c r="B352" s="17"/>
      <c r="C352" s="17"/>
      <c r="D352" s="8"/>
      <c r="E352" s="16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17"/>
      <c r="B353" s="17"/>
      <c r="C353" s="17"/>
      <c r="D353" s="8"/>
      <c r="E353" s="16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17"/>
      <c r="B354" s="17"/>
      <c r="C354" s="17"/>
      <c r="D354" s="8"/>
      <c r="E354" s="16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17"/>
      <c r="B355" s="17"/>
      <c r="C355" s="17"/>
      <c r="D355" s="8"/>
      <c r="E355" s="16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17"/>
      <c r="B356" s="17"/>
      <c r="C356" s="17"/>
      <c r="D356" s="8"/>
      <c r="E356" s="16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17"/>
      <c r="B357" s="17"/>
      <c r="C357" s="17"/>
      <c r="D357" s="8"/>
      <c r="E357" s="16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17"/>
      <c r="B358" s="17"/>
      <c r="C358" s="17"/>
      <c r="D358" s="8"/>
      <c r="E358" s="16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17"/>
      <c r="B359" s="17"/>
      <c r="C359" s="17"/>
      <c r="D359" s="8"/>
      <c r="E359" s="16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17"/>
      <c r="B360" s="17"/>
      <c r="C360" s="17"/>
      <c r="D360" s="8"/>
      <c r="E360" s="16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17"/>
      <c r="B361" s="17"/>
      <c r="C361" s="17"/>
      <c r="D361" s="8"/>
      <c r="E361" s="16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17"/>
      <c r="B362" s="17"/>
      <c r="C362" s="17"/>
      <c r="D362" s="8"/>
      <c r="E362" s="16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17"/>
      <c r="B363" s="17"/>
      <c r="C363" s="17"/>
      <c r="D363" s="8"/>
      <c r="E363" s="16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17"/>
      <c r="B364" s="17"/>
      <c r="C364" s="17"/>
      <c r="D364" s="8"/>
      <c r="E364" s="16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17"/>
      <c r="B365" s="17"/>
      <c r="C365" s="17"/>
      <c r="D365" s="8"/>
      <c r="E365" s="16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17"/>
      <c r="B366" s="17"/>
      <c r="C366" s="17"/>
      <c r="D366" s="8"/>
      <c r="E366" s="16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17"/>
      <c r="B367" s="17"/>
      <c r="C367" s="17"/>
      <c r="D367" s="8"/>
      <c r="E367" s="16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17"/>
      <c r="B368" s="17"/>
      <c r="C368" s="17"/>
      <c r="D368" s="8"/>
      <c r="E368" s="16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17"/>
      <c r="B369" s="17"/>
      <c r="C369" s="17"/>
      <c r="D369" s="8"/>
      <c r="E369" s="16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17"/>
      <c r="B370" s="17"/>
      <c r="C370" s="17"/>
      <c r="D370" s="8"/>
      <c r="E370" s="16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17"/>
      <c r="B371" s="17"/>
      <c r="C371" s="17"/>
      <c r="D371" s="8"/>
      <c r="E371" s="16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17"/>
      <c r="B372" s="17"/>
      <c r="C372" s="17"/>
      <c r="D372" s="8"/>
      <c r="E372" s="16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17"/>
      <c r="B373" s="17"/>
      <c r="C373" s="17"/>
      <c r="D373" s="8"/>
      <c r="E373" s="16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17"/>
      <c r="B374" s="17"/>
      <c r="C374" s="17"/>
      <c r="D374" s="8"/>
      <c r="E374" s="16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17"/>
      <c r="B375" s="17"/>
      <c r="C375" s="17"/>
      <c r="D375" s="8"/>
      <c r="E375" s="16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17"/>
      <c r="B376" s="17"/>
      <c r="C376" s="17"/>
      <c r="D376" s="8"/>
      <c r="E376" s="16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17"/>
      <c r="B377" s="17"/>
      <c r="C377" s="17"/>
      <c r="D377" s="8"/>
      <c r="E377" s="16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17"/>
      <c r="B378" s="17"/>
      <c r="C378" s="17"/>
      <c r="D378" s="8"/>
      <c r="E378" s="16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17"/>
      <c r="B379" s="17"/>
      <c r="C379" s="17"/>
      <c r="D379" s="8"/>
      <c r="E379" s="16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17"/>
      <c r="B380" s="17"/>
      <c r="C380" s="17"/>
      <c r="D380" s="8"/>
      <c r="E380" s="16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17"/>
      <c r="B381" s="17"/>
      <c r="C381" s="17"/>
      <c r="D381" s="8"/>
      <c r="E381" s="16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17"/>
      <c r="B382" s="17"/>
      <c r="C382" s="17"/>
      <c r="D382" s="8"/>
      <c r="E382" s="16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17"/>
      <c r="B383" s="17"/>
      <c r="C383" s="17"/>
      <c r="D383" s="8"/>
      <c r="E383" s="16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17"/>
      <c r="B384" s="17"/>
      <c r="C384" s="17"/>
      <c r="D384" s="8"/>
      <c r="E384" s="16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17"/>
      <c r="B385" s="17"/>
      <c r="C385" s="17"/>
      <c r="D385" s="8"/>
      <c r="E385" s="16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17"/>
      <c r="B386" s="17"/>
      <c r="C386" s="17"/>
      <c r="D386" s="8"/>
      <c r="E386" s="16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17"/>
      <c r="B387" s="17"/>
      <c r="C387" s="17"/>
      <c r="D387" s="8"/>
      <c r="E387" s="16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17"/>
      <c r="B388" s="17"/>
      <c r="C388" s="17"/>
      <c r="D388" s="8"/>
      <c r="E388" s="16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17"/>
      <c r="B389" s="17"/>
      <c r="C389" s="17"/>
      <c r="D389" s="8"/>
      <c r="E389" s="16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17"/>
      <c r="B390" s="17"/>
      <c r="C390" s="17"/>
      <c r="D390" s="8"/>
      <c r="E390" s="16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17"/>
      <c r="B391" s="17"/>
      <c r="C391" s="17"/>
      <c r="D391" s="8"/>
      <c r="E391" s="16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17"/>
      <c r="B392" s="17"/>
      <c r="C392" s="17"/>
      <c r="D392" s="8"/>
      <c r="E392" s="16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17"/>
      <c r="B393" s="17"/>
      <c r="C393" s="17"/>
      <c r="D393" s="8"/>
      <c r="E393" s="16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17"/>
      <c r="B394" s="17"/>
      <c r="C394" s="17"/>
      <c r="D394" s="8"/>
      <c r="E394" s="16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17"/>
      <c r="B395" s="17"/>
      <c r="C395" s="17"/>
      <c r="D395" s="8"/>
      <c r="E395" s="16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17"/>
      <c r="B396" s="17"/>
      <c r="C396" s="17"/>
      <c r="D396" s="8"/>
      <c r="E396" s="16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17"/>
      <c r="B397" s="17"/>
      <c r="C397" s="17"/>
      <c r="D397" s="8"/>
      <c r="E397" s="16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17"/>
      <c r="B398" s="17"/>
      <c r="C398" s="17"/>
      <c r="D398" s="8"/>
      <c r="E398" s="16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17"/>
      <c r="B399" s="17"/>
      <c r="C399" s="17"/>
      <c r="D399" s="8"/>
      <c r="E399" s="16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17"/>
      <c r="B400" s="17"/>
      <c r="C400" s="17"/>
      <c r="D400" s="8"/>
      <c r="E400" s="16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17"/>
      <c r="B401" s="17"/>
      <c r="C401" s="17"/>
      <c r="D401" s="8"/>
      <c r="E401" s="16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17"/>
      <c r="B402" s="17"/>
      <c r="C402" s="17"/>
      <c r="D402" s="8"/>
      <c r="E402" s="16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17"/>
      <c r="B403" s="17"/>
      <c r="C403" s="17"/>
      <c r="D403" s="8"/>
      <c r="E403" s="16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17"/>
      <c r="B404" s="17"/>
      <c r="C404" s="17"/>
      <c r="D404" s="8"/>
      <c r="E404" s="16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17"/>
      <c r="B405" s="17"/>
      <c r="C405" s="17"/>
      <c r="D405" s="8"/>
      <c r="E405" s="16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17"/>
      <c r="B406" s="17"/>
      <c r="C406" s="17"/>
      <c r="D406" s="8"/>
      <c r="E406" s="16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17"/>
      <c r="B407" s="17"/>
      <c r="C407" s="17"/>
      <c r="D407" s="8"/>
      <c r="E407" s="16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17"/>
      <c r="B408" s="17"/>
      <c r="C408" s="17"/>
      <c r="D408" s="8"/>
      <c r="E408" s="16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17"/>
      <c r="B409" s="17"/>
      <c r="C409" s="17"/>
      <c r="D409" s="8"/>
      <c r="E409" s="16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17"/>
      <c r="B410" s="17"/>
      <c r="C410" s="17"/>
      <c r="D410" s="8"/>
      <c r="E410" s="16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17"/>
      <c r="B411" s="17"/>
      <c r="C411" s="17"/>
      <c r="D411" s="8"/>
      <c r="E411" s="16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17"/>
      <c r="B412" s="17"/>
      <c r="C412" s="17"/>
      <c r="D412" s="8"/>
      <c r="E412" s="16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17"/>
      <c r="B413" s="17"/>
      <c r="C413" s="17"/>
      <c r="D413" s="8"/>
      <c r="E413" s="16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17"/>
      <c r="B414" s="17"/>
      <c r="C414" s="17"/>
      <c r="D414" s="8"/>
      <c r="E414" s="16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17"/>
      <c r="B415" s="17"/>
      <c r="C415" s="17"/>
      <c r="D415" s="8"/>
      <c r="E415" s="16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17"/>
      <c r="B416" s="17"/>
      <c r="C416" s="17"/>
      <c r="D416" s="8"/>
      <c r="E416" s="16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17"/>
      <c r="B417" s="17"/>
      <c r="C417" s="17"/>
      <c r="D417" s="8"/>
      <c r="E417" s="16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17"/>
      <c r="B418" s="17"/>
      <c r="C418" s="17"/>
      <c r="D418" s="8"/>
      <c r="E418" s="16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17"/>
      <c r="B419" s="17"/>
      <c r="C419" s="17"/>
      <c r="D419" s="8"/>
      <c r="E419" s="16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17"/>
      <c r="B420" s="17"/>
      <c r="C420" s="17"/>
      <c r="D420" s="8"/>
      <c r="E420" s="16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7"/>
      <c r="B421" s="17"/>
      <c r="C421" s="17"/>
      <c r="D421" s="8"/>
      <c r="E421" s="16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17"/>
      <c r="B422" s="17"/>
      <c r="C422" s="17"/>
      <c r="D422" s="8"/>
      <c r="E422" s="16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17"/>
      <c r="B423" s="17"/>
      <c r="C423" s="17"/>
      <c r="D423" s="8"/>
      <c r="E423" s="16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17"/>
      <c r="B424" s="17"/>
      <c r="C424" s="17"/>
      <c r="D424" s="8"/>
      <c r="E424" s="16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17"/>
      <c r="B425" s="17"/>
      <c r="C425" s="17"/>
      <c r="D425" s="8"/>
      <c r="E425" s="16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17"/>
      <c r="B426" s="17"/>
      <c r="C426" s="17"/>
      <c r="D426" s="8"/>
      <c r="E426" s="16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17"/>
      <c r="B427" s="17"/>
      <c r="C427" s="17"/>
      <c r="D427" s="8"/>
      <c r="E427" s="16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17"/>
      <c r="B428" s="17"/>
      <c r="C428" s="17"/>
      <c r="D428" s="8"/>
      <c r="E428" s="16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17"/>
      <c r="B429" s="17"/>
      <c r="C429" s="17"/>
      <c r="D429" s="8"/>
      <c r="E429" s="16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17"/>
      <c r="B430" s="17"/>
      <c r="C430" s="17"/>
      <c r="D430" s="8"/>
      <c r="E430" s="16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17"/>
      <c r="B431" s="17"/>
      <c r="C431" s="17"/>
      <c r="D431" s="8"/>
      <c r="E431" s="16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17"/>
      <c r="B432" s="17"/>
      <c r="C432" s="17"/>
      <c r="D432" s="8"/>
      <c r="E432" s="16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17"/>
      <c r="B433" s="17"/>
      <c r="C433" s="17"/>
      <c r="D433" s="8"/>
      <c r="E433" s="16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17"/>
      <c r="B434" s="17"/>
      <c r="C434" s="17"/>
      <c r="D434" s="8"/>
      <c r="E434" s="16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17"/>
      <c r="B435" s="17"/>
      <c r="C435" s="17"/>
      <c r="D435" s="8"/>
      <c r="E435" s="16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17"/>
      <c r="B436" s="17"/>
      <c r="C436" s="17"/>
      <c r="D436" s="8"/>
      <c r="E436" s="16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17"/>
      <c r="B437" s="17"/>
      <c r="C437" s="17"/>
      <c r="D437" s="8"/>
      <c r="E437" s="16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17"/>
      <c r="B438" s="17"/>
      <c r="C438" s="17"/>
      <c r="D438" s="8"/>
      <c r="E438" s="16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17"/>
      <c r="B439" s="17"/>
      <c r="C439" s="17"/>
      <c r="D439" s="8"/>
      <c r="E439" s="16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17"/>
      <c r="B440" s="17"/>
      <c r="C440" s="17"/>
      <c r="D440" s="8"/>
      <c r="E440" s="16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17"/>
      <c r="B441" s="17"/>
      <c r="C441" s="17"/>
      <c r="D441" s="8"/>
      <c r="E441" s="16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17"/>
      <c r="B442" s="17"/>
      <c r="C442" s="17"/>
      <c r="D442" s="8"/>
      <c r="E442" s="16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17"/>
      <c r="B443" s="17"/>
      <c r="C443" s="17"/>
      <c r="D443" s="8"/>
      <c r="E443" s="16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17"/>
      <c r="B444" s="17"/>
      <c r="C444" s="17"/>
      <c r="D444" s="8"/>
      <c r="E444" s="16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17"/>
      <c r="B445" s="17"/>
      <c r="C445" s="17"/>
      <c r="D445" s="8"/>
      <c r="E445" s="16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17"/>
      <c r="B446" s="17"/>
      <c r="C446" s="17"/>
      <c r="D446" s="8"/>
      <c r="E446" s="16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17"/>
      <c r="B447" s="17"/>
      <c r="C447" s="17"/>
      <c r="D447" s="8"/>
      <c r="E447" s="16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17"/>
      <c r="B448" s="17"/>
      <c r="C448" s="17"/>
      <c r="D448" s="8"/>
      <c r="E448" s="16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17"/>
      <c r="B449" s="17"/>
      <c r="C449" s="17"/>
      <c r="D449" s="8"/>
      <c r="E449" s="16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17"/>
      <c r="B450" s="17"/>
      <c r="C450" s="17"/>
      <c r="D450" s="8"/>
      <c r="E450" s="16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17"/>
      <c r="B451" s="17"/>
      <c r="C451" s="17"/>
      <c r="D451" s="8"/>
      <c r="E451" s="16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17"/>
      <c r="B452" s="17"/>
      <c r="C452" s="17"/>
      <c r="D452" s="8"/>
      <c r="E452" s="16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17"/>
      <c r="B453" s="17"/>
      <c r="C453" s="17"/>
      <c r="D453" s="8"/>
      <c r="E453" s="16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17"/>
      <c r="B454" s="17"/>
      <c r="C454" s="17"/>
      <c r="D454" s="8"/>
      <c r="E454" s="16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17"/>
      <c r="B455" s="17"/>
      <c r="C455" s="17"/>
      <c r="D455" s="8"/>
      <c r="E455" s="16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17"/>
      <c r="B456" s="17"/>
      <c r="C456" s="17"/>
      <c r="D456" s="8"/>
      <c r="E456" s="16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17"/>
      <c r="B457" s="17"/>
      <c r="C457" s="17"/>
      <c r="D457" s="8"/>
      <c r="E457" s="16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17"/>
      <c r="B458" s="17"/>
      <c r="C458" s="17"/>
      <c r="D458" s="8"/>
      <c r="E458" s="16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17"/>
      <c r="B459" s="17"/>
      <c r="C459" s="17"/>
      <c r="D459" s="8"/>
      <c r="E459" s="16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17"/>
      <c r="B460" s="17"/>
      <c r="C460" s="17"/>
      <c r="D460" s="8"/>
      <c r="E460" s="16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17"/>
      <c r="B461" s="17"/>
      <c r="C461" s="17"/>
      <c r="D461" s="8"/>
      <c r="E461" s="16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17"/>
      <c r="B462" s="17"/>
      <c r="C462" s="17"/>
      <c r="D462" s="8"/>
      <c r="E462" s="16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17"/>
      <c r="B463" s="17"/>
      <c r="C463" s="17"/>
      <c r="D463" s="8"/>
      <c r="E463" s="16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17"/>
      <c r="B464" s="17"/>
      <c r="C464" s="17"/>
      <c r="D464" s="8"/>
      <c r="E464" s="16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17"/>
      <c r="B465" s="17"/>
      <c r="C465" s="17"/>
      <c r="D465" s="8"/>
      <c r="E465" s="16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17"/>
      <c r="B466" s="17"/>
      <c r="C466" s="17"/>
      <c r="D466" s="8"/>
      <c r="E466" s="16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17"/>
      <c r="B467" s="17"/>
      <c r="C467" s="17"/>
      <c r="D467" s="8"/>
      <c r="E467" s="16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17"/>
      <c r="B468" s="17"/>
      <c r="C468" s="17"/>
      <c r="D468" s="8"/>
      <c r="E468" s="16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17"/>
      <c r="B469" s="17"/>
      <c r="C469" s="17"/>
      <c r="D469" s="8"/>
      <c r="E469" s="16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17"/>
      <c r="B470" s="17"/>
      <c r="C470" s="17"/>
      <c r="D470" s="8"/>
      <c r="E470" s="16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17"/>
      <c r="B471" s="17"/>
      <c r="C471" s="17"/>
      <c r="D471" s="8"/>
      <c r="E471" s="16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17"/>
      <c r="B472" s="17"/>
      <c r="C472" s="17"/>
      <c r="D472" s="8"/>
      <c r="E472" s="16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17"/>
      <c r="B473" s="17"/>
      <c r="C473" s="17"/>
      <c r="D473" s="8"/>
      <c r="E473" s="16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17"/>
      <c r="B474" s="17"/>
      <c r="C474" s="17"/>
      <c r="D474" s="8"/>
      <c r="E474" s="16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17"/>
      <c r="B475" s="17"/>
      <c r="C475" s="17"/>
      <c r="D475" s="8"/>
      <c r="E475" s="16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17"/>
      <c r="B476" s="17"/>
      <c r="C476" s="17"/>
      <c r="D476" s="8"/>
      <c r="E476" s="16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17"/>
      <c r="B477" s="17"/>
      <c r="C477" s="17"/>
      <c r="D477" s="8"/>
      <c r="E477" s="16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17"/>
      <c r="B478" s="17"/>
      <c r="C478" s="17"/>
      <c r="D478" s="8"/>
      <c r="E478" s="16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17"/>
      <c r="B479" s="17"/>
      <c r="C479" s="17"/>
      <c r="D479" s="8"/>
      <c r="E479" s="16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17"/>
      <c r="B480" s="17"/>
      <c r="C480" s="17"/>
      <c r="D480" s="8"/>
      <c r="E480" s="16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17"/>
      <c r="B481" s="17"/>
      <c r="C481" s="17"/>
      <c r="D481" s="8"/>
      <c r="E481" s="16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17"/>
      <c r="B482" s="17"/>
      <c r="C482" s="17"/>
      <c r="D482" s="8"/>
      <c r="E482" s="16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17"/>
      <c r="B483" s="17"/>
      <c r="C483" s="17"/>
      <c r="D483" s="8"/>
      <c r="E483" s="16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17"/>
      <c r="B484" s="17"/>
      <c r="C484" s="17"/>
      <c r="D484" s="8"/>
      <c r="E484" s="16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17"/>
      <c r="B485" s="17"/>
      <c r="C485" s="17"/>
      <c r="D485" s="8"/>
      <c r="E485" s="16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17"/>
      <c r="B486" s="17"/>
      <c r="C486" s="17"/>
      <c r="D486" s="8"/>
      <c r="E486" s="16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17"/>
      <c r="B487" s="17"/>
      <c r="C487" s="17"/>
      <c r="D487" s="8"/>
      <c r="E487" s="16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17"/>
      <c r="B488" s="17"/>
      <c r="C488" s="17"/>
      <c r="D488" s="8"/>
      <c r="E488" s="16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17"/>
      <c r="B489" s="17"/>
      <c r="C489" s="17"/>
      <c r="D489" s="8"/>
      <c r="E489" s="16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17"/>
      <c r="B490" s="17"/>
      <c r="C490" s="17"/>
      <c r="D490" s="8"/>
      <c r="E490" s="16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17"/>
      <c r="B491" s="17"/>
      <c r="C491" s="17"/>
      <c r="D491" s="8"/>
      <c r="E491" s="16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17"/>
      <c r="B492" s="17"/>
      <c r="C492" s="17"/>
      <c r="D492" s="8"/>
      <c r="E492" s="16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17"/>
      <c r="B493" s="17"/>
      <c r="C493" s="17"/>
      <c r="D493" s="8"/>
      <c r="E493" s="16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17"/>
      <c r="B494" s="17"/>
      <c r="C494" s="17"/>
      <c r="D494" s="8"/>
      <c r="E494" s="16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17"/>
      <c r="B495" s="17"/>
      <c r="C495" s="17"/>
      <c r="D495" s="8"/>
      <c r="E495" s="16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17"/>
      <c r="B496" s="17"/>
      <c r="C496" s="17"/>
      <c r="D496" s="8"/>
      <c r="E496" s="16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17"/>
      <c r="B497" s="17"/>
      <c r="C497" s="17"/>
      <c r="D497" s="8"/>
      <c r="E497" s="16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17"/>
      <c r="B498" s="17"/>
      <c r="C498" s="17"/>
      <c r="D498" s="8"/>
      <c r="E498" s="16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17"/>
      <c r="B499" s="17"/>
      <c r="C499" s="17"/>
      <c r="D499" s="8"/>
      <c r="E499" s="16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17"/>
      <c r="B500" s="17"/>
      <c r="C500" s="17"/>
      <c r="D500" s="8"/>
      <c r="E500" s="16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17"/>
      <c r="B501" s="17"/>
      <c r="C501" s="17"/>
      <c r="D501" s="8"/>
      <c r="E501" s="16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17"/>
      <c r="B502" s="17"/>
      <c r="C502" s="17"/>
      <c r="D502" s="8"/>
      <c r="E502" s="16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17"/>
      <c r="B503" s="17"/>
      <c r="C503" s="17"/>
      <c r="D503" s="8"/>
      <c r="E503" s="16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17"/>
      <c r="B504" s="17"/>
      <c r="C504" s="17"/>
      <c r="D504" s="8"/>
      <c r="E504" s="16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17"/>
      <c r="B505" s="17"/>
      <c r="C505" s="17"/>
      <c r="D505" s="8"/>
      <c r="E505" s="16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17"/>
      <c r="B506" s="17"/>
      <c r="C506" s="17"/>
      <c r="D506" s="8"/>
      <c r="E506" s="16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17"/>
      <c r="B507" s="17"/>
      <c r="C507" s="17"/>
      <c r="D507" s="8"/>
      <c r="E507" s="16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17"/>
      <c r="B508" s="17"/>
      <c r="C508" s="17"/>
      <c r="D508" s="8"/>
      <c r="E508" s="16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17"/>
      <c r="B509" s="17"/>
      <c r="C509" s="17"/>
      <c r="D509" s="8"/>
      <c r="E509" s="16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17"/>
      <c r="B510" s="17"/>
      <c r="C510" s="17"/>
      <c r="D510" s="8"/>
      <c r="E510" s="16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17"/>
      <c r="B511" s="17"/>
      <c r="C511" s="17"/>
      <c r="D511" s="8"/>
      <c r="E511" s="16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17"/>
      <c r="B512" s="17"/>
      <c r="C512" s="17"/>
      <c r="D512" s="8"/>
      <c r="E512" s="16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17"/>
      <c r="B513" s="17"/>
      <c r="C513" s="17"/>
      <c r="D513" s="8"/>
      <c r="E513" s="16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17"/>
      <c r="B514" s="17"/>
      <c r="C514" s="17"/>
      <c r="D514" s="8"/>
      <c r="E514" s="16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17"/>
      <c r="B515" s="17"/>
      <c r="C515" s="17"/>
      <c r="D515" s="8"/>
      <c r="E515" s="16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17"/>
      <c r="B516" s="17"/>
      <c r="C516" s="17"/>
      <c r="D516" s="8"/>
      <c r="E516" s="16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17"/>
      <c r="B517" s="17"/>
      <c r="C517" s="17"/>
      <c r="D517" s="8"/>
      <c r="E517" s="16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17"/>
      <c r="B518" s="17"/>
      <c r="C518" s="17"/>
      <c r="D518" s="8"/>
      <c r="E518" s="16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17"/>
      <c r="B519" s="17"/>
      <c r="C519" s="17"/>
      <c r="D519" s="8"/>
      <c r="E519" s="16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17"/>
      <c r="B520" s="17"/>
      <c r="C520" s="17"/>
      <c r="D520" s="8"/>
      <c r="E520" s="16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7"/>
      <c r="B521" s="17"/>
      <c r="C521" s="17"/>
      <c r="D521" s="8"/>
      <c r="E521" s="16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17"/>
      <c r="B522" s="17"/>
      <c r="C522" s="17"/>
      <c r="D522" s="8"/>
      <c r="E522" s="16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17"/>
      <c r="B523" s="17"/>
      <c r="C523" s="17"/>
      <c r="D523" s="8"/>
      <c r="E523" s="16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17"/>
      <c r="B524" s="17"/>
      <c r="C524" s="17"/>
      <c r="D524" s="8"/>
      <c r="E524" s="16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17"/>
      <c r="B525" s="17"/>
      <c r="C525" s="17"/>
      <c r="D525" s="8"/>
      <c r="E525" s="16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17"/>
      <c r="B526" s="17"/>
      <c r="C526" s="17"/>
      <c r="D526" s="8"/>
      <c r="E526" s="16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17"/>
      <c r="B527" s="17"/>
      <c r="C527" s="17"/>
      <c r="D527" s="8"/>
      <c r="E527" s="16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17"/>
      <c r="B528" s="17"/>
      <c r="C528" s="17"/>
      <c r="D528" s="8"/>
      <c r="E528" s="16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17"/>
      <c r="B529" s="17"/>
      <c r="C529" s="17"/>
      <c r="D529" s="8"/>
      <c r="E529" s="16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17"/>
      <c r="B530" s="17"/>
      <c r="C530" s="17"/>
      <c r="D530" s="8"/>
      <c r="E530" s="16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17"/>
      <c r="B531" s="17"/>
      <c r="C531" s="17"/>
      <c r="D531" s="8"/>
      <c r="E531" s="16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17"/>
      <c r="B532" s="17"/>
      <c r="C532" s="17"/>
      <c r="D532" s="8"/>
      <c r="E532" s="16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17"/>
      <c r="B533" s="17"/>
      <c r="C533" s="17"/>
      <c r="D533" s="8"/>
      <c r="E533" s="16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17"/>
      <c r="B534" s="17"/>
      <c r="C534" s="17"/>
      <c r="D534" s="8"/>
      <c r="E534" s="16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17"/>
      <c r="B535" s="17"/>
      <c r="C535" s="17"/>
      <c r="D535" s="8"/>
      <c r="E535" s="16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17"/>
      <c r="B536" s="17"/>
      <c r="C536" s="17"/>
      <c r="D536" s="8"/>
      <c r="E536" s="16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17"/>
      <c r="B537" s="17"/>
      <c r="C537" s="17"/>
      <c r="D537" s="8"/>
      <c r="E537" s="16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17"/>
      <c r="B538" s="17"/>
      <c r="C538" s="17"/>
      <c r="D538" s="8"/>
      <c r="E538" s="16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17"/>
      <c r="B539" s="17"/>
      <c r="C539" s="17"/>
      <c r="D539" s="8"/>
      <c r="E539" s="16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17"/>
      <c r="B540" s="17"/>
      <c r="C540" s="17"/>
      <c r="D540" s="8"/>
      <c r="E540" s="16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17"/>
      <c r="B541" s="17"/>
      <c r="C541" s="17"/>
      <c r="D541" s="8"/>
      <c r="E541" s="16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17"/>
      <c r="B542" s="17"/>
      <c r="C542" s="17"/>
      <c r="D542" s="8"/>
      <c r="E542" s="16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17"/>
      <c r="B543" s="17"/>
      <c r="C543" s="17"/>
      <c r="D543" s="8"/>
      <c r="E543" s="16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17"/>
      <c r="B544" s="17"/>
      <c r="C544" s="17"/>
      <c r="D544" s="8"/>
      <c r="E544" s="16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17"/>
      <c r="B545" s="17"/>
      <c r="C545" s="17"/>
      <c r="D545" s="8"/>
      <c r="E545" s="16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17"/>
      <c r="B546" s="17"/>
      <c r="C546" s="17"/>
      <c r="D546" s="8"/>
      <c r="E546" s="16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17"/>
      <c r="B547" s="17"/>
      <c r="C547" s="17"/>
      <c r="D547" s="8"/>
      <c r="E547" s="16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17"/>
      <c r="B548" s="17"/>
      <c r="C548" s="17"/>
      <c r="D548" s="8"/>
      <c r="E548" s="16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17"/>
      <c r="B549" s="17"/>
      <c r="C549" s="17"/>
      <c r="D549" s="8"/>
      <c r="E549" s="16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17"/>
      <c r="B550" s="17"/>
      <c r="C550" s="17"/>
      <c r="D550" s="8"/>
      <c r="E550" s="16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17"/>
      <c r="B551" s="17"/>
      <c r="C551" s="17"/>
      <c r="D551" s="8"/>
      <c r="E551" s="16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17"/>
      <c r="B552" s="17"/>
      <c r="C552" s="17"/>
      <c r="D552" s="8"/>
      <c r="E552" s="16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17"/>
      <c r="B553" s="17"/>
      <c r="C553" s="17"/>
      <c r="D553" s="8"/>
      <c r="E553" s="16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17"/>
      <c r="B554" s="17"/>
      <c r="C554" s="17"/>
      <c r="D554" s="8"/>
      <c r="E554" s="16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17"/>
      <c r="B555" s="17"/>
      <c r="C555" s="17"/>
      <c r="D555" s="8"/>
      <c r="E555" s="16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17"/>
      <c r="B556" s="17"/>
      <c r="C556" s="17"/>
      <c r="D556" s="8"/>
      <c r="E556" s="16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17"/>
      <c r="B557" s="17"/>
      <c r="C557" s="17"/>
      <c r="D557" s="8"/>
      <c r="E557" s="16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17"/>
      <c r="B558" s="17"/>
      <c r="C558" s="17"/>
      <c r="D558" s="8"/>
      <c r="E558" s="16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17"/>
      <c r="B559" s="17"/>
      <c r="C559" s="17"/>
      <c r="D559" s="8"/>
      <c r="E559" s="16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17"/>
      <c r="B560" s="17"/>
      <c r="C560" s="17"/>
      <c r="D560" s="8"/>
      <c r="E560" s="16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17"/>
      <c r="B561" s="17"/>
      <c r="C561" s="17"/>
      <c r="D561" s="8"/>
      <c r="E561" s="16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17"/>
      <c r="B562" s="17"/>
      <c r="C562" s="17"/>
      <c r="D562" s="8"/>
      <c r="E562" s="16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17"/>
      <c r="B563" s="17"/>
      <c r="C563" s="17"/>
      <c r="D563" s="8"/>
      <c r="E563" s="16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17"/>
      <c r="B564" s="17"/>
      <c r="C564" s="17"/>
      <c r="D564" s="8"/>
      <c r="E564" s="16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17"/>
      <c r="B565" s="17"/>
      <c r="C565" s="17"/>
      <c r="D565" s="8"/>
      <c r="E565" s="16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17"/>
      <c r="B566" s="17"/>
      <c r="C566" s="17"/>
      <c r="D566" s="8"/>
      <c r="E566" s="16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17"/>
      <c r="B567" s="17"/>
      <c r="C567" s="17"/>
      <c r="D567" s="8"/>
      <c r="E567" s="16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17"/>
      <c r="B568" s="17"/>
      <c r="C568" s="17"/>
      <c r="D568" s="8"/>
      <c r="E568" s="16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17"/>
      <c r="B569" s="17"/>
      <c r="C569" s="17"/>
      <c r="D569" s="8"/>
      <c r="E569" s="16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17"/>
      <c r="B570" s="17"/>
      <c r="C570" s="17"/>
      <c r="D570" s="8"/>
      <c r="E570" s="16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17"/>
      <c r="B571" s="17"/>
      <c r="C571" s="17"/>
      <c r="D571" s="8"/>
      <c r="E571" s="16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17"/>
      <c r="B572" s="17"/>
      <c r="C572" s="17"/>
      <c r="D572" s="8"/>
      <c r="E572" s="16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17"/>
      <c r="B573" s="17"/>
      <c r="C573" s="17"/>
      <c r="D573" s="8"/>
      <c r="E573" s="16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17"/>
      <c r="B574" s="17"/>
      <c r="C574" s="17"/>
      <c r="D574" s="8"/>
      <c r="E574" s="16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17"/>
      <c r="B575" s="17"/>
      <c r="C575" s="17"/>
      <c r="D575" s="8"/>
      <c r="E575" s="16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17"/>
      <c r="B576" s="17"/>
      <c r="C576" s="17"/>
      <c r="D576" s="8"/>
      <c r="E576" s="16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17"/>
      <c r="B577" s="17"/>
      <c r="C577" s="17"/>
      <c r="D577" s="8"/>
      <c r="E577" s="16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17"/>
      <c r="B578" s="17"/>
      <c r="C578" s="17"/>
      <c r="D578" s="8"/>
      <c r="E578" s="16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17"/>
      <c r="B579" s="17"/>
      <c r="C579" s="17"/>
      <c r="D579" s="8"/>
      <c r="E579" s="16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17"/>
      <c r="B580" s="17"/>
      <c r="C580" s="17"/>
      <c r="D580" s="8"/>
      <c r="E580" s="16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17"/>
      <c r="B581" s="17"/>
      <c r="C581" s="17"/>
      <c r="D581" s="8"/>
      <c r="E581" s="16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17"/>
      <c r="B582" s="17"/>
      <c r="C582" s="17"/>
      <c r="D582" s="8"/>
      <c r="E582" s="16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17"/>
      <c r="B583" s="17"/>
      <c r="C583" s="17"/>
      <c r="D583" s="8"/>
      <c r="E583" s="16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17"/>
      <c r="B584" s="17"/>
      <c r="C584" s="17"/>
      <c r="D584" s="8"/>
      <c r="E584" s="16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17"/>
      <c r="B585" s="17"/>
      <c r="C585" s="17"/>
      <c r="D585" s="8"/>
      <c r="E585" s="16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17"/>
      <c r="B586" s="17"/>
      <c r="C586" s="17"/>
      <c r="D586" s="8"/>
      <c r="E586" s="16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17"/>
      <c r="B587" s="17"/>
      <c r="C587" s="17"/>
      <c r="D587" s="8"/>
      <c r="E587" s="16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17"/>
      <c r="B588" s="17"/>
      <c r="C588" s="17"/>
      <c r="D588" s="8"/>
      <c r="E588" s="16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17"/>
      <c r="B589" s="17"/>
      <c r="C589" s="17"/>
      <c r="D589" s="8"/>
      <c r="E589" s="16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17"/>
      <c r="B590" s="17"/>
      <c r="C590" s="17"/>
      <c r="D590" s="8"/>
      <c r="E590" s="16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17"/>
      <c r="B591" s="17"/>
      <c r="C591" s="17"/>
      <c r="D591" s="8"/>
      <c r="E591" s="16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17"/>
      <c r="B592" s="17"/>
      <c r="C592" s="17"/>
      <c r="D592" s="8"/>
      <c r="E592" s="16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17"/>
      <c r="B593" s="17"/>
      <c r="C593" s="17"/>
      <c r="D593" s="8"/>
      <c r="E593" s="16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17"/>
      <c r="B594" s="17"/>
      <c r="C594" s="17"/>
      <c r="D594" s="8"/>
      <c r="E594" s="16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17"/>
      <c r="B595" s="17"/>
      <c r="C595" s="17"/>
      <c r="D595" s="8"/>
      <c r="E595" s="16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17"/>
      <c r="B596" s="17"/>
      <c r="C596" s="17"/>
      <c r="D596" s="8"/>
      <c r="E596" s="16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17"/>
      <c r="B597" s="17"/>
      <c r="C597" s="17"/>
      <c r="D597" s="8"/>
      <c r="E597" s="16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17"/>
      <c r="B598" s="17"/>
      <c r="C598" s="17"/>
      <c r="D598" s="8"/>
      <c r="E598" s="16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17"/>
      <c r="B599" s="17"/>
      <c r="C599" s="17"/>
      <c r="D599" s="8"/>
      <c r="E599" s="16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17"/>
      <c r="B600" s="17"/>
      <c r="C600" s="17"/>
      <c r="D600" s="8"/>
      <c r="E600" s="16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17"/>
      <c r="B601" s="17"/>
      <c r="C601" s="17"/>
      <c r="D601" s="8"/>
      <c r="E601" s="16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17"/>
      <c r="B602" s="17"/>
      <c r="C602" s="17"/>
      <c r="D602" s="8"/>
      <c r="E602" s="16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17"/>
      <c r="B603" s="17"/>
      <c r="C603" s="17"/>
      <c r="D603" s="8"/>
      <c r="E603" s="16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17"/>
      <c r="B604" s="17"/>
      <c r="C604" s="17"/>
      <c r="D604" s="8"/>
      <c r="E604" s="16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17"/>
      <c r="B605" s="17"/>
      <c r="C605" s="17"/>
      <c r="D605" s="8"/>
      <c r="E605" s="16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17"/>
      <c r="B606" s="17"/>
      <c r="C606" s="17"/>
      <c r="D606" s="8"/>
      <c r="E606" s="16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17"/>
      <c r="B607" s="17"/>
      <c r="C607" s="17"/>
      <c r="D607" s="8"/>
      <c r="E607" s="16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17"/>
      <c r="B608" s="17"/>
      <c r="C608" s="17"/>
      <c r="D608" s="8"/>
      <c r="E608" s="16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17"/>
      <c r="B609" s="17"/>
      <c r="C609" s="17"/>
      <c r="D609" s="8"/>
      <c r="E609" s="16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17"/>
      <c r="B610" s="17"/>
      <c r="C610" s="17"/>
      <c r="D610" s="8"/>
      <c r="E610" s="16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17"/>
      <c r="B611" s="17"/>
      <c r="C611" s="17"/>
      <c r="D611" s="8"/>
      <c r="E611" s="16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17"/>
      <c r="B612" s="17"/>
      <c r="C612" s="17"/>
      <c r="D612" s="8"/>
      <c r="E612" s="16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17"/>
      <c r="B613" s="17"/>
      <c r="C613" s="17"/>
      <c r="D613" s="8"/>
      <c r="E613" s="16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17"/>
      <c r="B614" s="17"/>
      <c r="C614" s="17"/>
      <c r="D614" s="8"/>
      <c r="E614" s="16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17"/>
      <c r="B615" s="17"/>
      <c r="C615" s="17"/>
      <c r="D615" s="8"/>
      <c r="E615" s="16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17"/>
      <c r="B616" s="17"/>
      <c r="C616" s="17"/>
      <c r="D616" s="8"/>
      <c r="E616" s="16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17"/>
      <c r="B617" s="17"/>
      <c r="C617" s="17"/>
      <c r="D617" s="8"/>
      <c r="E617" s="16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17"/>
      <c r="B618" s="17"/>
      <c r="C618" s="17"/>
      <c r="D618" s="8"/>
      <c r="E618" s="16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17"/>
      <c r="B619" s="17"/>
      <c r="C619" s="17"/>
      <c r="D619" s="8"/>
      <c r="E619" s="16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17"/>
      <c r="B620" s="17"/>
      <c r="C620" s="17"/>
      <c r="D620" s="8"/>
      <c r="E620" s="16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17"/>
      <c r="B621" s="17"/>
      <c r="C621" s="17"/>
      <c r="D621" s="8"/>
      <c r="E621" s="16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17"/>
      <c r="B622" s="17"/>
      <c r="C622" s="17"/>
      <c r="D622" s="8"/>
      <c r="E622" s="16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17"/>
      <c r="B623" s="17"/>
      <c r="C623" s="17"/>
      <c r="D623" s="8"/>
      <c r="E623" s="16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17"/>
      <c r="B624" s="17"/>
      <c r="C624" s="17"/>
      <c r="D624" s="8"/>
      <c r="E624" s="16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17"/>
      <c r="B625" s="17"/>
      <c r="C625" s="17"/>
      <c r="D625" s="8"/>
      <c r="E625" s="16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17"/>
      <c r="B626" s="17"/>
      <c r="C626" s="17"/>
      <c r="D626" s="8"/>
      <c r="E626" s="16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17"/>
      <c r="B627" s="17"/>
      <c r="C627" s="17"/>
      <c r="D627" s="8"/>
      <c r="E627" s="16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17"/>
      <c r="B628" s="17"/>
      <c r="C628" s="17"/>
      <c r="D628" s="8"/>
      <c r="E628" s="16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17"/>
      <c r="B629" s="17"/>
      <c r="C629" s="17"/>
      <c r="D629" s="8"/>
      <c r="E629" s="16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17"/>
      <c r="B630" s="17"/>
      <c r="C630" s="17"/>
      <c r="D630" s="8"/>
      <c r="E630" s="16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17"/>
      <c r="B631" s="17"/>
      <c r="C631" s="17"/>
      <c r="D631" s="8"/>
      <c r="E631" s="16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17"/>
      <c r="B632" s="17"/>
      <c r="C632" s="17"/>
      <c r="D632" s="8"/>
      <c r="E632" s="16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17"/>
      <c r="B633" s="17"/>
      <c r="C633" s="17"/>
      <c r="D633" s="8"/>
      <c r="E633" s="16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17"/>
      <c r="B634" s="17"/>
      <c r="C634" s="17"/>
      <c r="D634" s="8"/>
      <c r="E634" s="16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17"/>
      <c r="B635" s="17"/>
      <c r="C635" s="17"/>
      <c r="D635" s="8"/>
      <c r="E635" s="16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17"/>
      <c r="B636" s="17"/>
      <c r="C636" s="17"/>
      <c r="D636" s="8"/>
      <c r="E636" s="16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17"/>
      <c r="B637" s="17"/>
      <c r="C637" s="17"/>
      <c r="D637" s="8"/>
      <c r="E637" s="16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17"/>
      <c r="B638" s="17"/>
      <c r="C638" s="17"/>
      <c r="D638" s="8"/>
      <c r="E638" s="16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17"/>
      <c r="B639" s="17"/>
      <c r="C639" s="17"/>
      <c r="D639" s="8"/>
      <c r="E639" s="16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17"/>
      <c r="B640" s="17"/>
      <c r="C640" s="17"/>
      <c r="D640" s="8"/>
      <c r="E640" s="16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17"/>
      <c r="B641" s="17"/>
      <c r="C641" s="17"/>
      <c r="D641" s="8"/>
      <c r="E641" s="16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17"/>
      <c r="B642" s="17"/>
      <c r="C642" s="17"/>
      <c r="D642" s="8"/>
      <c r="E642" s="16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17"/>
      <c r="B643" s="17"/>
      <c r="C643" s="17"/>
      <c r="D643" s="8"/>
      <c r="E643" s="16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17"/>
      <c r="B644" s="17"/>
      <c r="C644" s="17"/>
      <c r="D644" s="8"/>
      <c r="E644" s="16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17"/>
      <c r="B645" s="17"/>
      <c r="C645" s="17"/>
      <c r="D645" s="8"/>
      <c r="E645" s="16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17"/>
      <c r="B646" s="17"/>
      <c r="C646" s="17"/>
      <c r="D646" s="8"/>
      <c r="E646" s="16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17"/>
      <c r="B647" s="17"/>
      <c r="C647" s="17"/>
      <c r="D647" s="8"/>
      <c r="E647" s="16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17"/>
      <c r="B648" s="17"/>
      <c r="C648" s="17"/>
      <c r="D648" s="8"/>
      <c r="E648" s="16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17"/>
      <c r="B649" s="17"/>
      <c r="C649" s="17"/>
      <c r="D649" s="8"/>
      <c r="E649" s="16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17"/>
      <c r="B650" s="17"/>
      <c r="C650" s="17"/>
      <c r="D650" s="8"/>
      <c r="E650" s="16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17"/>
      <c r="B651" s="17"/>
      <c r="C651" s="17"/>
      <c r="D651" s="8"/>
      <c r="E651" s="16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17"/>
      <c r="B652" s="17"/>
      <c r="C652" s="17"/>
      <c r="D652" s="8"/>
      <c r="E652" s="16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17"/>
      <c r="B653" s="17"/>
      <c r="C653" s="17"/>
      <c r="D653" s="8"/>
      <c r="E653" s="16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17"/>
      <c r="B654" s="17"/>
      <c r="C654" s="17"/>
      <c r="D654" s="8"/>
      <c r="E654" s="16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17"/>
      <c r="B655" s="17"/>
      <c r="C655" s="17"/>
      <c r="D655" s="8"/>
      <c r="E655" s="16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17"/>
      <c r="B656" s="17"/>
      <c r="C656" s="17"/>
      <c r="D656" s="8"/>
      <c r="E656" s="16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17"/>
      <c r="B657" s="17"/>
      <c r="C657" s="17"/>
      <c r="D657" s="8"/>
      <c r="E657" s="16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17"/>
      <c r="B658" s="17"/>
      <c r="C658" s="17"/>
      <c r="D658" s="8"/>
      <c r="E658" s="16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17"/>
      <c r="B659" s="17"/>
      <c r="C659" s="17"/>
      <c r="D659" s="8"/>
      <c r="E659" s="16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17"/>
      <c r="B660" s="17"/>
      <c r="C660" s="17"/>
      <c r="D660" s="8"/>
      <c r="E660" s="16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17"/>
      <c r="B661" s="17"/>
      <c r="C661" s="17"/>
      <c r="D661" s="8"/>
      <c r="E661" s="16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17"/>
      <c r="B662" s="17"/>
      <c r="C662" s="17"/>
      <c r="D662" s="8"/>
      <c r="E662" s="16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17"/>
      <c r="B663" s="17"/>
      <c r="C663" s="17"/>
      <c r="D663" s="8"/>
      <c r="E663" s="16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17"/>
      <c r="B664" s="17"/>
      <c r="C664" s="17"/>
      <c r="D664" s="8"/>
      <c r="E664" s="16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17"/>
      <c r="B665" s="17"/>
      <c r="C665" s="17"/>
      <c r="D665" s="8"/>
      <c r="E665" s="16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17"/>
      <c r="B666" s="17"/>
      <c r="C666" s="17"/>
      <c r="D666" s="8"/>
      <c r="E666" s="16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17"/>
      <c r="B667" s="17"/>
      <c r="C667" s="17"/>
      <c r="D667" s="8"/>
      <c r="E667" s="16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17"/>
      <c r="B668" s="17"/>
      <c r="C668" s="17"/>
      <c r="D668" s="8"/>
      <c r="E668" s="16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17"/>
      <c r="B669" s="17"/>
      <c r="C669" s="17"/>
      <c r="D669" s="8"/>
      <c r="E669" s="16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17"/>
      <c r="B670" s="17"/>
      <c r="C670" s="17"/>
      <c r="D670" s="8"/>
      <c r="E670" s="16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17"/>
      <c r="B671" s="17"/>
      <c r="C671" s="17"/>
      <c r="D671" s="8"/>
      <c r="E671" s="16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17"/>
      <c r="B672" s="17"/>
      <c r="C672" s="17"/>
      <c r="D672" s="8"/>
      <c r="E672" s="16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17"/>
      <c r="B673" s="17"/>
      <c r="C673" s="17"/>
      <c r="D673" s="8"/>
      <c r="E673" s="16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17"/>
      <c r="B674" s="17"/>
      <c r="C674" s="17"/>
      <c r="D674" s="8"/>
      <c r="E674" s="16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17"/>
      <c r="B675" s="17"/>
      <c r="C675" s="17"/>
      <c r="D675" s="8"/>
      <c r="E675" s="16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17"/>
      <c r="B676" s="17"/>
      <c r="C676" s="17"/>
      <c r="D676" s="8"/>
      <c r="E676" s="16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17"/>
      <c r="B677" s="17"/>
      <c r="C677" s="17"/>
      <c r="D677" s="8"/>
      <c r="E677" s="16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17"/>
      <c r="B678" s="17"/>
      <c r="C678" s="17"/>
      <c r="D678" s="8"/>
      <c r="E678" s="16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17"/>
      <c r="B679" s="17"/>
      <c r="C679" s="17"/>
      <c r="D679" s="8"/>
      <c r="E679" s="16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17"/>
      <c r="B680" s="17"/>
      <c r="C680" s="17"/>
      <c r="D680" s="8"/>
      <c r="E680" s="16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17"/>
      <c r="B681" s="17"/>
      <c r="C681" s="17"/>
      <c r="D681" s="8"/>
      <c r="E681" s="16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17"/>
      <c r="B682" s="17"/>
      <c r="C682" s="17"/>
      <c r="D682" s="8"/>
      <c r="E682" s="16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17"/>
      <c r="B683" s="17"/>
      <c r="C683" s="17"/>
      <c r="D683" s="8"/>
      <c r="E683" s="16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17"/>
      <c r="B684" s="17"/>
      <c r="C684" s="17"/>
      <c r="D684" s="8"/>
      <c r="E684" s="16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17"/>
      <c r="B685" s="17"/>
      <c r="C685" s="17"/>
      <c r="D685" s="8"/>
      <c r="E685" s="16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17"/>
      <c r="B686" s="17"/>
      <c r="C686" s="17"/>
      <c r="D686" s="8"/>
      <c r="E686" s="16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17"/>
      <c r="B687" s="17"/>
      <c r="C687" s="17"/>
      <c r="D687" s="8"/>
      <c r="E687" s="16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17"/>
      <c r="B688" s="17"/>
      <c r="C688" s="17"/>
      <c r="D688" s="8"/>
      <c r="E688" s="16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17"/>
      <c r="B689" s="17"/>
      <c r="C689" s="17"/>
      <c r="D689" s="8"/>
      <c r="E689" s="16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17"/>
      <c r="B690" s="17"/>
      <c r="C690" s="17"/>
      <c r="D690" s="8"/>
      <c r="E690" s="16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17"/>
      <c r="B691" s="17"/>
      <c r="C691" s="17"/>
      <c r="D691" s="8"/>
      <c r="E691" s="16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17"/>
      <c r="B692" s="17"/>
      <c r="C692" s="17"/>
      <c r="D692" s="8"/>
      <c r="E692" s="16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17"/>
      <c r="B693" s="17"/>
      <c r="C693" s="17"/>
      <c r="D693" s="8"/>
      <c r="E693" s="16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17"/>
      <c r="B694" s="17"/>
      <c r="C694" s="17"/>
      <c r="D694" s="8"/>
      <c r="E694" s="16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17"/>
      <c r="B695" s="17"/>
      <c r="C695" s="17"/>
      <c r="D695" s="8"/>
      <c r="E695" s="16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17"/>
      <c r="B696" s="17"/>
      <c r="C696" s="17"/>
      <c r="D696" s="8"/>
      <c r="E696" s="16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17"/>
      <c r="B697" s="17"/>
      <c r="C697" s="17"/>
      <c r="D697" s="8"/>
      <c r="E697" s="16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17"/>
      <c r="B698" s="17"/>
      <c r="C698" s="17"/>
      <c r="D698" s="8"/>
      <c r="E698" s="16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17"/>
      <c r="B699" s="17"/>
      <c r="C699" s="17"/>
      <c r="D699" s="8"/>
      <c r="E699" s="16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17"/>
      <c r="B700" s="17"/>
      <c r="C700" s="17"/>
      <c r="D700" s="8"/>
      <c r="E700" s="16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17"/>
      <c r="B701" s="17"/>
      <c r="C701" s="17"/>
      <c r="D701" s="8"/>
      <c r="E701" s="16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17"/>
      <c r="B702" s="17"/>
      <c r="C702" s="17"/>
      <c r="D702" s="8"/>
      <c r="E702" s="16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17"/>
      <c r="B703" s="17"/>
      <c r="C703" s="17"/>
      <c r="D703" s="8"/>
      <c r="E703" s="16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17"/>
      <c r="B704" s="17"/>
      <c r="C704" s="17"/>
      <c r="D704" s="8"/>
      <c r="E704" s="16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17"/>
      <c r="B705" s="17"/>
      <c r="C705" s="17"/>
      <c r="D705" s="8"/>
      <c r="E705" s="16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17"/>
      <c r="B706" s="17"/>
      <c r="C706" s="17"/>
      <c r="D706" s="8"/>
      <c r="E706" s="16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17"/>
      <c r="B707" s="17"/>
      <c r="C707" s="17"/>
      <c r="D707" s="8"/>
      <c r="E707" s="16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17"/>
      <c r="B708" s="17"/>
      <c r="C708" s="17"/>
      <c r="D708" s="8"/>
      <c r="E708" s="16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17"/>
      <c r="B709" s="17"/>
      <c r="C709" s="17"/>
      <c r="D709" s="8"/>
      <c r="E709" s="16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17"/>
      <c r="B710" s="17"/>
      <c r="C710" s="17"/>
      <c r="D710" s="8"/>
      <c r="E710" s="16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17"/>
      <c r="B711" s="17"/>
      <c r="C711" s="17"/>
      <c r="D711" s="8"/>
      <c r="E711" s="16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17"/>
      <c r="B712" s="17"/>
      <c r="C712" s="17"/>
      <c r="D712" s="8"/>
      <c r="E712" s="16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17"/>
      <c r="B713" s="17"/>
      <c r="C713" s="17"/>
      <c r="D713" s="8"/>
      <c r="E713" s="16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17"/>
      <c r="B714" s="17"/>
      <c r="C714" s="17"/>
      <c r="D714" s="8"/>
      <c r="E714" s="16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17"/>
      <c r="B715" s="17"/>
      <c r="C715" s="17"/>
      <c r="D715" s="8"/>
      <c r="E715" s="16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17"/>
      <c r="B716" s="17"/>
      <c r="C716" s="17"/>
      <c r="D716" s="8"/>
      <c r="E716" s="16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17"/>
      <c r="B717" s="17"/>
      <c r="C717" s="17"/>
      <c r="D717" s="8"/>
      <c r="E717" s="16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17"/>
      <c r="B718" s="17"/>
      <c r="C718" s="17"/>
      <c r="D718" s="8"/>
      <c r="E718" s="16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17"/>
      <c r="B719" s="17"/>
      <c r="C719" s="17"/>
      <c r="D719" s="8"/>
      <c r="E719" s="16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17"/>
      <c r="B720" s="17"/>
      <c r="C720" s="17"/>
      <c r="D720" s="8"/>
      <c r="E720" s="16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17"/>
      <c r="B721" s="17"/>
      <c r="C721" s="17"/>
      <c r="D721" s="8"/>
      <c r="E721" s="16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17"/>
      <c r="B722" s="17"/>
      <c r="C722" s="17"/>
      <c r="D722" s="8"/>
      <c r="E722" s="16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17"/>
      <c r="B723" s="17"/>
      <c r="C723" s="17"/>
      <c r="D723" s="8"/>
      <c r="E723" s="16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17"/>
      <c r="B724" s="17"/>
      <c r="C724" s="17"/>
      <c r="D724" s="8"/>
      <c r="E724" s="16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17"/>
      <c r="B725" s="17"/>
      <c r="C725" s="17"/>
      <c r="D725" s="8"/>
      <c r="E725" s="16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17"/>
      <c r="B726" s="17"/>
      <c r="C726" s="17"/>
      <c r="D726" s="8"/>
      <c r="E726" s="16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17"/>
      <c r="B727" s="17"/>
      <c r="C727" s="17"/>
      <c r="D727" s="8"/>
      <c r="E727" s="16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17"/>
      <c r="B728" s="17"/>
      <c r="C728" s="17"/>
      <c r="D728" s="8"/>
      <c r="E728" s="16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17"/>
      <c r="B729" s="17"/>
      <c r="C729" s="17"/>
      <c r="D729" s="8"/>
      <c r="E729" s="16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17"/>
      <c r="B730" s="17"/>
      <c r="C730" s="17"/>
      <c r="D730" s="8"/>
      <c r="E730" s="16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17"/>
      <c r="B731" s="17"/>
      <c r="C731" s="17"/>
      <c r="D731" s="8"/>
      <c r="E731" s="16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17"/>
      <c r="B732" s="17"/>
      <c r="C732" s="17"/>
      <c r="D732" s="8"/>
      <c r="E732" s="16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17"/>
      <c r="B733" s="17"/>
      <c r="C733" s="17"/>
      <c r="D733" s="8"/>
      <c r="E733" s="16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17"/>
      <c r="B734" s="17"/>
      <c r="C734" s="17"/>
      <c r="D734" s="8"/>
      <c r="E734" s="16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17"/>
      <c r="B735" s="17"/>
      <c r="C735" s="17"/>
      <c r="D735" s="8"/>
      <c r="E735" s="16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17"/>
      <c r="B736" s="17"/>
      <c r="C736" s="17"/>
      <c r="D736" s="8"/>
      <c r="E736" s="16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17"/>
      <c r="B737" s="17"/>
      <c r="C737" s="17"/>
      <c r="D737" s="8"/>
      <c r="E737" s="16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17"/>
      <c r="B738" s="17"/>
      <c r="C738" s="17"/>
      <c r="D738" s="8"/>
      <c r="E738" s="16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17"/>
      <c r="B739" s="17"/>
      <c r="C739" s="17"/>
      <c r="D739" s="8"/>
      <c r="E739" s="16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17"/>
      <c r="B740" s="17"/>
      <c r="C740" s="17"/>
      <c r="D740" s="8"/>
      <c r="E740" s="16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17"/>
      <c r="B741" s="17"/>
      <c r="C741" s="17"/>
      <c r="D741" s="8"/>
      <c r="E741" s="16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17"/>
      <c r="B742" s="17"/>
      <c r="C742" s="17"/>
      <c r="D742" s="8"/>
      <c r="E742" s="16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17"/>
      <c r="B743" s="17"/>
      <c r="C743" s="17"/>
      <c r="D743" s="8"/>
      <c r="E743" s="16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17"/>
      <c r="B744" s="17"/>
      <c r="C744" s="17"/>
      <c r="D744" s="8"/>
      <c r="E744" s="16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17"/>
      <c r="B745" s="17"/>
      <c r="C745" s="17"/>
      <c r="D745" s="8"/>
      <c r="E745" s="16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17"/>
      <c r="B746" s="17"/>
      <c r="C746" s="17"/>
      <c r="D746" s="8"/>
      <c r="E746" s="16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17"/>
      <c r="B747" s="17"/>
      <c r="C747" s="17"/>
      <c r="D747" s="8"/>
      <c r="E747" s="16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17"/>
      <c r="B748" s="17"/>
      <c r="C748" s="17"/>
      <c r="D748" s="8"/>
      <c r="E748" s="16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17"/>
      <c r="B749" s="17"/>
      <c r="C749" s="17"/>
      <c r="D749" s="8"/>
      <c r="E749" s="16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17"/>
      <c r="B750" s="17"/>
      <c r="C750" s="17"/>
      <c r="D750" s="8"/>
      <c r="E750" s="16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17"/>
      <c r="B751" s="17"/>
      <c r="C751" s="17"/>
      <c r="D751" s="8"/>
      <c r="E751" s="16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17"/>
      <c r="B752" s="17"/>
      <c r="C752" s="17"/>
      <c r="D752" s="8"/>
      <c r="E752" s="16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17"/>
      <c r="B753" s="17"/>
      <c r="C753" s="17"/>
      <c r="D753" s="8"/>
      <c r="E753" s="16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17"/>
      <c r="B754" s="17"/>
      <c r="C754" s="17"/>
      <c r="D754" s="8"/>
      <c r="E754" s="16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17"/>
      <c r="B755" s="17"/>
      <c r="C755" s="17"/>
      <c r="D755" s="8"/>
      <c r="E755" s="16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17"/>
      <c r="B756" s="17"/>
      <c r="C756" s="17"/>
      <c r="D756" s="8"/>
      <c r="E756" s="16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17"/>
      <c r="B757" s="17"/>
      <c r="C757" s="17"/>
      <c r="D757" s="8"/>
      <c r="E757" s="16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17"/>
      <c r="B758" s="17"/>
      <c r="C758" s="17"/>
      <c r="D758" s="8"/>
      <c r="E758" s="16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17"/>
      <c r="B759" s="17"/>
      <c r="C759" s="17"/>
      <c r="D759" s="8"/>
      <c r="E759" s="16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17"/>
      <c r="B760" s="17"/>
      <c r="C760" s="17"/>
      <c r="D760" s="8"/>
      <c r="E760" s="16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17"/>
      <c r="B761" s="17"/>
      <c r="C761" s="17"/>
      <c r="D761" s="8"/>
      <c r="E761" s="16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17"/>
      <c r="B762" s="17"/>
      <c r="C762" s="17"/>
      <c r="D762" s="8"/>
      <c r="E762" s="16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17"/>
      <c r="B763" s="17"/>
      <c r="C763" s="17"/>
      <c r="D763" s="8"/>
      <c r="E763" s="16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17"/>
      <c r="B764" s="17"/>
      <c r="C764" s="17"/>
      <c r="D764" s="8"/>
      <c r="E764" s="16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17"/>
      <c r="B765" s="17"/>
      <c r="C765" s="17"/>
      <c r="D765" s="8"/>
      <c r="E765" s="16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17"/>
      <c r="B766" s="17"/>
      <c r="C766" s="17"/>
      <c r="D766" s="8"/>
      <c r="E766" s="16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17"/>
      <c r="B767" s="17"/>
      <c r="C767" s="17"/>
      <c r="D767" s="8"/>
      <c r="E767" s="16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17"/>
      <c r="B768" s="17"/>
      <c r="C768" s="17"/>
      <c r="D768" s="8"/>
      <c r="E768" s="16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17"/>
      <c r="B769" s="17"/>
      <c r="C769" s="17"/>
      <c r="D769" s="8"/>
      <c r="E769" s="16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17"/>
      <c r="B770" s="17"/>
      <c r="C770" s="17"/>
      <c r="D770" s="8"/>
      <c r="E770" s="16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17"/>
      <c r="B771" s="17"/>
      <c r="C771" s="17"/>
      <c r="D771" s="8"/>
      <c r="E771" s="16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17"/>
      <c r="B772" s="17"/>
      <c r="C772" s="17"/>
      <c r="D772" s="8"/>
      <c r="E772" s="16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17"/>
      <c r="B773" s="17"/>
      <c r="C773" s="17"/>
      <c r="D773" s="8"/>
      <c r="E773" s="16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17"/>
      <c r="B774" s="17"/>
      <c r="C774" s="17"/>
      <c r="D774" s="8"/>
      <c r="E774" s="16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17"/>
      <c r="B775" s="17"/>
      <c r="C775" s="17"/>
      <c r="D775" s="8"/>
      <c r="E775" s="16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17"/>
      <c r="B776" s="17"/>
      <c r="C776" s="17"/>
      <c r="D776" s="8"/>
      <c r="E776" s="16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17"/>
      <c r="B777" s="17"/>
      <c r="C777" s="17"/>
      <c r="D777" s="8"/>
      <c r="E777" s="16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17"/>
      <c r="B778" s="17"/>
      <c r="C778" s="17"/>
      <c r="D778" s="8"/>
      <c r="E778" s="16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17"/>
      <c r="B779" s="17"/>
      <c r="C779" s="17"/>
      <c r="D779" s="8"/>
      <c r="E779" s="16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17"/>
      <c r="B780" s="17"/>
      <c r="C780" s="17"/>
      <c r="D780" s="8"/>
      <c r="E780" s="16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17"/>
      <c r="B781" s="17"/>
      <c r="C781" s="17"/>
      <c r="D781" s="8"/>
      <c r="E781" s="16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17"/>
      <c r="B782" s="17"/>
      <c r="C782" s="17"/>
      <c r="D782" s="8"/>
      <c r="E782" s="16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17"/>
      <c r="B783" s="17"/>
      <c r="C783" s="17"/>
      <c r="D783" s="8"/>
      <c r="E783" s="16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17"/>
      <c r="B784" s="17"/>
      <c r="C784" s="17"/>
      <c r="D784" s="8"/>
      <c r="E784" s="16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17"/>
      <c r="B785" s="17"/>
      <c r="C785" s="17"/>
      <c r="D785" s="8"/>
      <c r="E785" s="16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17"/>
      <c r="B786" s="17"/>
      <c r="C786" s="17"/>
      <c r="D786" s="8"/>
      <c r="E786" s="16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17"/>
      <c r="B787" s="17"/>
      <c r="C787" s="17"/>
      <c r="D787" s="8"/>
      <c r="E787" s="16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17"/>
      <c r="B788" s="17"/>
      <c r="C788" s="17"/>
      <c r="D788" s="8"/>
      <c r="E788" s="16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17"/>
      <c r="B789" s="17"/>
      <c r="C789" s="17"/>
      <c r="D789" s="8"/>
      <c r="E789" s="16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17"/>
      <c r="B790" s="17"/>
      <c r="C790" s="17"/>
      <c r="D790" s="8"/>
      <c r="E790" s="16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17"/>
      <c r="B791" s="17"/>
      <c r="C791" s="17"/>
      <c r="D791" s="8"/>
      <c r="E791" s="16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17"/>
      <c r="B792" s="17"/>
      <c r="C792" s="17"/>
      <c r="D792" s="8"/>
      <c r="E792" s="16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17"/>
      <c r="B793" s="17"/>
      <c r="C793" s="17"/>
      <c r="D793" s="8"/>
      <c r="E793" s="16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17"/>
      <c r="B794" s="17"/>
      <c r="C794" s="17"/>
      <c r="D794" s="8"/>
      <c r="E794" s="16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17"/>
      <c r="B795" s="17"/>
      <c r="C795" s="17"/>
      <c r="D795" s="8"/>
      <c r="E795" s="16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17"/>
      <c r="B796" s="17"/>
      <c r="C796" s="17"/>
      <c r="D796" s="8"/>
      <c r="E796" s="16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17"/>
      <c r="B797" s="17"/>
      <c r="C797" s="17"/>
      <c r="D797" s="8"/>
      <c r="E797" s="16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17"/>
      <c r="B798" s="17"/>
      <c r="C798" s="17"/>
      <c r="D798" s="8"/>
      <c r="E798" s="16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17"/>
      <c r="B799" s="17"/>
      <c r="C799" s="17"/>
      <c r="D799" s="8"/>
      <c r="E799" s="16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17"/>
      <c r="B800" s="17"/>
      <c r="C800" s="17"/>
      <c r="D800" s="8"/>
      <c r="E800" s="16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17"/>
      <c r="B801" s="17"/>
      <c r="C801" s="17"/>
      <c r="D801" s="8"/>
      <c r="E801" s="16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17"/>
      <c r="B802" s="17"/>
      <c r="C802" s="17"/>
      <c r="D802" s="8"/>
      <c r="E802" s="16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17"/>
      <c r="B803" s="17"/>
      <c r="C803" s="17"/>
      <c r="D803" s="8"/>
      <c r="E803" s="16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17"/>
      <c r="B804" s="17"/>
      <c r="C804" s="17"/>
      <c r="D804" s="8"/>
      <c r="E804" s="16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17"/>
      <c r="B805" s="17"/>
      <c r="C805" s="17"/>
      <c r="D805" s="8"/>
      <c r="E805" s="16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17"/>
      <c r="B806" s="17"/>
      <c r="C806" s="17"/>
      <c r="D806" s="8"/>
      <c r="E806" s="16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17"/>
      <c r="B807" s="17"/>
      <c r="C807" s="17"/>
      <c r="D807" s="8"/>
      <c r="E807" s="16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17"/>
      <c r="B808" s="17"/>
      <c r="C808" s="17"/>
      <c r="D808" s="8"/>
      <c r="E808" s="16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17"/>
      <c r="B809" s="17"/>
      <c r="C809" s="17"/>
      <c r="D809" s="8"/>
      <c r="E809" s="16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17"/>
      <c r="B810" s="17"/>
      <c r="C810" s="17"/>
      <c r="D810" s="8"/>
      <c r="E810" s="16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17"/>
      <c r="B811" s="17"/>
      <c r="C811" s="17"/>
      <c r="D811" s="8"/>
      <c r="E811" s="16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17"/>
      <c r="B812" s="17"/>
      <c r="C812" s="17"/>
      <c r="D812" s="8"/>
      <c r="E812" s="16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17"/>
      <c r="B813" s="17"/>
      <c r="C813" s="17"/>
      <c r="D813" s="8"/>
      <c r="E813" s="16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17"/>
      <c r="B814" s="17"/>
      <c r="C814" s="17"/>
      <c r="D814" s="8"/>
      <c r="E814" s="16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17"/>
      <c r="B815" s="17"/>
      <c r="C815" s="17"/>
      <c r="D815" s="8"/>
      <c r="E815" s="16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17"/>
      <c r="B816" s="17"/>
      <c r="C816" s="17"/>
      <c r="D816" s="8"/>
      <c r="E816" s="16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17"/>
      <c r="B817" s="17"/>
      <c r="C817" s="17"/>
      <c r="D817" s="8"/>
      <c r="E817" s="16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17"/>
      <c r="B818" s="17"/>
      <c r="C818" s="17"/>
      <c r="D818" s="8"/>
      <c r="E818" s="16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17"/>
      <c r="B819" s="17"/>
      <c r="C819" s="17"/>
      <c r="D819" s="8"/>
      <c r="E819" s="16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17"/>
      <c r="B820" s="17"/>
      <c r="C820" s="17"/>
      <c r="D820" s="8"/>
      <c r="E820" s="16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17"/>
      <c r="B821" s="17"/>
      <c r="C821" s="17"/>
      <c r="D821" s="8"/>
      <c r="E821" s="16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17"/>
      <c r="B822" s="17"/>
      <c r="C822" s="17"/>
      <c r="D822" s="8"/>
      <c r="E822" s="16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17"/>
      <c r="B823" s="17"/>
      <c r="C823" s="17"/>
      <c r="D823" s="8"/>
      <c r="E823" s="16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17"/>
      <c r="B824" s="17"/>
      <c r="C824" s="17"/>
      <c r="D824" s="8"/>
      <c r="E824" s="16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17"/>
      <c r="B825" s="17"/>
      <c r="C825" s="17"/>
      <c r="D825" s="8"/>
      <c r="E825" s="16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17"/>
      <c r="B826" s="17"/>
      <c r="C826" s="17"/>
      <c r="D826" s="8"/>
      <c r="E826" s="16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17"/>
      <c r="B827" s="17"/>
      <c r="C827" s="17"/>
      <c r="D827" s="8"/>
      <c r="E827" s="16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17"/>
      <c r="B828" s="17"/>
      <c r="C828" s="17"/>
      <c r="D828" s="8"/>
      <c r="E828" s="16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17"/>
      <c r="B829" s="17"/>
      <c r="C829" s="17"/>
      <c r="D829" s="8"/>
      <c r="E829" s="16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17"/>
      <c r="B830" s="17"/>
      <c r="C830" s="17"/>
      <c r="D830" s="8"/>
      <c r="E830" s="16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17"/>
      <c r="B831" s="17"/>
      <c r="C831" s="17"/>
      <c r="D831" s="8"/>
      <c r="E831" s="16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17"/>
      <c r="B832" s="17"/>
      <c r="C832" s="17"/>
      <c r="D832" s="8"/>
      <c r="E832" s="16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17"/>
      <c r="B833" s="17"/>
      <c r="C833" s="17"/>
      <c r="D833" s="8"/>
      <c r="E833" s="16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17"/>
      <c r="B834" s="17"/>
      <c r="C834" s="17"/>
      <c r="D834" s="8"/>
      <c r="E834" s="16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17"/>
      <c r="B835" s="17"/>
      <c r="C835" s="17"/>
      <c r="D835" s="8"/>
      <c r="E835" s="16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17"/>
      <c r="B836" s="17"/>
      <c r="C836" s="17"/>
      <c r="D836" s="8"/>
      <c r="E836" s="16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17"/>
      <c r="B837" s="17"/>
      <c r="C837" s="17"/>
      <c r="D837" s="8"/>
      <c r="E837" s="16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17"/>
      <c r="B838" s="17"/>
      <c r="C838" s="17"/>
      <c r="D838" s="8"/>
      <c r="E838" s="16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17"/>
      <c r="B839" s="17"/>
      <c r="C839" s="17"/>
      <c r="D839" s="8"/>
      <c r="E839" s="16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17"/>
      <c r="B840" s="17"/>
      <c r="C840" s="17"/>
      <c r="D840" s="8"/>
      <c r="E840" s="16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17"/>
      <c r="B841" s="17"/>
      <c r="C841" s="17"/>
      <c r="D841" s="8"/>
      <c r="E841" s="16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17"/>
      <c r="B842" s="17"/>
      <c r="C842" s="17"/>
      <c r="D842" s="8"/>
      <c r="E842" s="16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17"/>
      <c r="B843" s="17"/>
      <c r="C843" s="17"/>
      <c r="D843" s="8"/>
      <c r="E843" s="16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17"/>
      <c r="B844" s="17"/>
      <c r="C844" s="17"/>
      <c r="D844" s="8"/>
      <c r="E844" s="16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17"/>
      <c r="B845" s="17"/>
      <c r="C845" s="17"/>
      <c r="D845" s="8"/>
      <c r="E845" s="16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17"/>
      <c r="B846" s="17"/>
      <c r="C846" s="17"/>
      <c r="D846" s="8"/>
      <c r="E846" s="16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17"/>
      <c r="B847" s="17"/>
      <c r="C847" s="17"/>
      <c r="D847" s="8"/>
      <c r="E847" s="16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17"/>
      <c r="B848" s="17"/>
      <c r="C848" s="17"/>
      <c r="D848" s="8"/>
      <c r="E848" s="16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17"/>
      <c r="B849" s="17"/>
      <c r="C849" s="17"/>
      <c r="D849" s="8"/>
      <c r="E849" s="16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17"/>
      <c r="B850" s="17"/>
      <c r="C850" s="17"/>
      <c r="D850" s="8"/>
      <c r="E850" s="16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17"/>
      <c r="B851" s="17"/>
      <c r="C851" s="17"/>
      <c r="D851" s="8"/>
      <c r="E851" s="16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17"/>
      <c r="B852" s="17"/>
      <c r="C852" s="17"/>
      <c r="D852" s="8"/>
      <c r="E852" s="16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17"/>
      <c r="B853" s="17"/>
      <c r="C853" s="17"/>
      <c r="D853" s="8"/>
      <c r="E853" s="16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17"/>
      <c r="B854" s="17"/>
      <c r="C854" s="17"/>
      <c r="D854" s="8"/>
      <c r="E854" s="16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17"/>
      <c r="B855" s="17"/>
      <c r="C855" s="17"/>
      <c r="D855" s="8"/>
      <c r="E855" s="16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17"/>
      <c r="B856" s="17"/>
      <c r="C856" s="17"/>
      <c r="D856" s="8"/>
      <c r="E856" s="16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17"/>
      <c r="B857" s="17"/>
      <c r="C857" s="17"/>
      <c r="D857" s="8"/>
      <c r="E857" s="16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17"/>
      <c r="B858" s="17"/>
      <c r="C858" s="17"/>
      <c r="D858" s="8"/>
      <c r="E858" s="16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17"/>
      <c r="B859" s="17"/>
      <c r="C859" s="17"/>
      <c r="D859" s="8"/>
      <c r="E859" s="16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17"/>
      <c r="B860" s="17"/>
      <c r="C860" s="17"/>
      <c r="D860" s="8"/>
      <c r="E860" s="16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17"/>
      <c r="B861" s="17"/>
      <c r="C861" s="17"/>
      <c r="D861" s="8"/>
      <c r="E861" s="16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17"/>
      <c r="B862" s="17"/>
      <c r="C862" s="17"/>
      <c r="D862" s="8"/>
      <c r="E862" s="16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17"/>
      <c r="B863" s="17"/>
      <c r="C863" s="17"/>
      <c r="D863" s="8"/>
      <c r="E863" s="16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17"/>
      <c r="B864" s="17"/>
      <c r="C864" s="17"/>
      <c r="D864" s="8"/>
      <c r="E864" s="16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17"/>
      <c r="B865" s="17"/>
      <c r="C865" s="17"/>
      <c r="D865" s="8"/>
      <c r="E865" s="16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17"/>
      <c r="B866" s="17"/>
      <c r="C866" s="17"/>
      <c r="D866" s="8"/>
      <c r="E866" s="16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17"/>
      <c r="B867" s="17"/>
      <c r="C867" s="17"/>
      <c r="D867" s="8"/>
      <c r="E867" s="16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17"/>
      <c r="B868" s="17"/>
      <c r="C868" s="17"/>
      <c r="D868" s="8"/>
      <c r="E868" s="16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17"/>
      <c r="B869" s="17"/>
      <c r="C869" s="17"/>
      <c r="D869" s="8"/>
      <c r="E869" s="16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17"/>
      <c r="B870" s="17"/>
      <c r="C870" s="17"/>
      <c r="D870" s="8"/>
      <c r="E870" s="16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17"/>
      <c r="B871" s="17"/>
      <c r="C871" s="17"/>
      <c r="D871" s="8"/>
      <c r="E871" s="16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17"/>
      <c r="B872" s="17"/>
      <c r="C872" s="17"/>
      <c r="D872" s="8"/>
      <c r="E872" s="16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17"/>
      <c r="B873" s="17"/>
      <c r="C873" s="17"/>
      <c r="D873" s="8"/>
      <c r="E873" s="16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17"/>
      <c r="B874" s="17"/>
      <c r="C874" s="17"/>
      <c r="D874" s="8"/>
      <c r="E874" s="16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17"/>
      <c r="B875" s="17"/>
      <c r="C875" s="17"/>
      <c r="D875" s="8"/>
      <c r="E875" s="16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17"/>
      <c r="B876" s="17"/>
      <c r="C876" s="17"/>
      <c r="D876" s="8"/>
      <c r="E876" s="16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17"/>
      <c r="B877" s="17"/>
      <c r="C877" s="17"/>
      <c r="D877" s="8"/>
      <c r="E877" s="16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17"/>
      <c r="B878" s="17"/>
      <c r="C878" s="17"/>
      <c r="D878" s="8"/>
      <c r="E878" s="16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17"/>
      <c r="B879" s="17"/>
      <c r="C879" s="17"/>
      <c r="D879" s="8"/>
      <c r="E879" s="16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17"/>
      <c r="B880" s="17"/>
      <c r="C880" s="17"/>
      <c r="D880" s="8"/>
      <c r="E880" s="16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17"/>
      <c r="B881" s="17"/>
      <c r="C881" s="17"/>
      <c r="D881" s="8"/>
      <c r="E881" s="16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17"/>
      <c r="B882" s="17"/>
      <c r="C882" s="17"/>
      <c r="D882" s="8"/>
      <c r="E882" s="16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17"/>
      <c r="B883" s="17"/>
      <c r="C883" s="17"/>
      <c r="D883" s="8"/>
      <c r="E883" s="16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17"/>
      <c r="B884" s="17"/>
      <c r="C884" s="17"/>
      <c r="D884" s="8"/>
      <c r="E884" s="16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17"/>
      <c r="B885" s="17"/>
      <c r="C885" s="17"/>
      <c r="D885" s="8"/>
      <c r="E885" s="16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17"/>
      <c r="B886" s="17"/>
      <c r="C886" s="17"/>
      <c r="D886" s="8"/>
      <c r="E886" s="16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17"/>
      <c r="B887" s="17"/>
      <c r="C887" s="17"/>
      <c r="D887" s="8"/>
      <c r="E887" s="16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17"/>
      <c r="B888" s="17"/>
      <c r="C888" s="17"/>
      <c r="D888" s="8"/>
      <c r="E888" s="16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17"/>
      <c r="B889" s="17"/>
      <c r="C889" s="17"/>
      <c r="D889" s="8"/>
      <c r="E889" s="16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17"/>
      <c r="B890" s="17"/>
      <c r="C890" s="17"/>
      <c r="D890" s="8"/>
      <c r="E890" s="16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17"/>
      <c r="B891" s="17"/>
      <c r="C891" s="17"/>
      <c r="D891" s="8"/>
      <c r="E891" s="16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17"/>
      <c r="B892" s="17"/>
      <c r="C892" s="17"/>
      <c r="D892" s="8"/>
      <c r="E892" s="16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17"/>
      <c r="B893" s="17"/>
      <c r="C893" s="17"/>
      <c r="D893" s="8"/>
      <c r="E893" s="16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17"/>
      <c r="B894" s="17"/>
      <c r="C894" s="17"/>
      <c r="D894" s="8"/>
      <c r="E894" s="16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17"/>
      <c r="B895" s="17"/>
      <c r="C895" s="17"/>
      <c r="D895" s="8"/>
      <c r="E895" s="16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17"/>
      <c r="B896" s="17"/>
      <c r="C896" s="17"/>
      <c r="D896" s="8"/>
      <c r="E896" s="16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17"/>
      <c r="B897" s="17"/>
      <c r="C897" s="17"/>
      <c r="D897" s="8"/>
      <c r="E897" s="16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17"/>
      <c r="B898" s="17"/>
      <c r="C898" s="17"/>
      <c r="D898" s="8"/>
      <c r="E898" s="16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17"/>
      <c r="B899" s="17"/>
      <c r="C899" s="17"/>
      <c r="D899" s="8"/>
      <c r="E899" s="16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17"/>
      <c r="B900" s="17"/>
      <c r="C900" s="17"/>
      <c r="D900" s="8"/>
      <c r="E900" s="16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17"/>
      <c r="B901" s="17"/>
      <c r="C901" s="17"/>
      <c r="D901" s="8"/>
      <c r="E901" s="16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17"/>
      <c r="B902" s="17"/>
      <c r="C902" s="17"/>
      <c r="D902" s="8"/>
      <c r="E902" s="16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17"/>
      <c r="B903" s="17"/>
      <c r="C903" s="17"/>
      <c r="D903" s="8"/>
      <c r="E903" s="16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17"/>
      <c r="B904" s="17"/>
      <c r="C904" s="17"/>
      <c r="D904" s="8"/>
      <c r="E904" s="16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17"/>
      <c r="B905" s="17"/>
      <c r="C905" s="17"/>
      <c r="D905" s="8"/>
      <c r="E905" s="16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17"/>
      <c r="B906" s="17"/>
      <c r="C906" s="17"/>
      <c r="D906" s="8"/>
      <c r="E906" s="16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17"/>
      <c r="B907" s="17"/>
      <c r="C907" s="17"/>
      <c r="D907" s="8"/>
      <c r="E907" s="16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17"/>
      <c r="B908" s="17"/>
      <c r="C908" s="17"/>
      <c r="D908" s="8"/>
      <c r="E908" s="16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17"/>
      <c r="B909" s="17"/>
      <c r="C909" s="17"/>
      <c r="D909" s="8"/>
      <c r="E909" s="16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17"/>
      <c r="B910" s="17"/>
      <c r="C910" s="17"/>
      <c r="D910" s="8"/>
      <c r="E910" s="16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17"/>
      <c r="B911" s="17"/>
      <c r="C911" s="17"/>
      <c r="D911" s="8"/>
      <c r="E911" s="16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17"/>
      <c r="B912" s="17"/>
      <c r="C912" s="17"/>
      <c r="D912" s="8"/>
      <c r="E912" s="16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17"/>
      <c r="B913" s="17"/>
      <c r="C913" s="17"/>
      <c r="D913" s="8"/>
      <c r="E913" s="16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17"/>
      <c r="B914" s="17"/>
      <c r="C914" s="17"/>
      <c r="D914" s="8"/>
      <c r="E914" s="16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17"/>
      <c r="B915" s="17"/>
      <c r="C915" s="17"/>
      <c r="D915" s="8"/>
      <c r="E915" s="16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17"/>
      <c r="B916" s="17"/>
      <c r="C916" s="17"/>
      <c r="D916" s="8"/>
      <c r="E916" s="16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17"/>
      <c r="B917" s="17"/>
      <c r="C917" s="17"/>
      <c r="D917" s="8"/>
      <c r="E917" s="16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17"/>
      <c r="B918" s="17"/>
      <c r="C918" s="17"/>
      <c r="D918" s="8"/>
      <c r="E918" s="16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17"/>
      <c r="B919" s="17"/>
      <c r="C919" s="17"/>
      <c r="D919" s="8"/>
      <c r="E919" s="16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17"/>
      <c r="B920" s="17"/>
      <c r="C920" s="17"/>
      <c r="D920" s="8"/>
      <c r="E920" s="16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17"/>
      <c r="B921" s="17"/>
      <c r="C921" s="17"/>
      <c r="D921" s="8"/>
      <c r="E921" s="16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17"/>
      <c r="B922" s="17"/>
      <c r="C922" s="17"/>
      <c r="D922" s="8"/>
      <c r="E922" s="16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17"/>
      <c r="B923" s="17"/>
      <c r="C923" s="17"/>
      <c r="D923" s="8"/>
      <c r="E923" s="16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17"/>
      <c r="B924" s="17"/>
      <c r="C924" s="17"/>
      <c r="D924" s="8"/>
      <c r="E924" s="16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17"/>
      <c r="B925" s="17"/>
      <c r="C925" s="17"/>
      <c r="D925" s="8"/>
      <c r="E925" s="16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17"/>
      <c r="B926" s="17"/>
      <c r="C926" s="17"/>
      <c r="D926" s="8"/>
      <c r="E926" s="16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17"/>
      <c r="B927" s="17"/>
      <c r="C927" s="17"/>
      <c r="D927" s="8"/>
      <c r="E927" s="16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17"/>
      <c r="B928" s="17"/>
      <c r="C928" s="17"/>
      <c r="D928" s="8"/>
      <c r="E928" s="16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17"/>
      <c r="B929" s="17"/>
      <c r="C929" s="17"/>
      <c r="D929" s="8"/>
      <c r="E929" s="16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17"/>
      <c r="B930" s="17"/>
      <c r="C930" s="17"/>
      <c r="D930" s="8"/>
      <c r="E930" s="16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17"/>
      <c r="B931" s="17"/>
      <c r="C931" s="17"/>
      <c r="D931" s="8"/>
      <c r="E931" s="16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17"/>
      <c r="B932" s="17"/>
      <c r="C932" s="17"/>
      <c r="D932" s="8"/>
      <c r="E932" s="16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17"/>
      <c r="B933" s="17"/>
      <c r="C933" s="17"/>
      <c r="D933" s="8"/>
      <c r="E933" s="16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17"/>
      <c r="B934" s="17"/>
      <c r="C934" s="17"/>
      <c r="D934" s="8"/>
      <c r="E934" s="16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17"/>
      <c r="B935" s="17"/>
      <c r="C935" s="17"/>
      <c r="D935" s="8"/>
      <c r="E935" s="16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17"/>
      <c r="B936" s="17"/>
      <c r="C936" s="17"/>
      <c r="D936" s="8"/>
      <c r="E936" s="16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17"/>
      <c r="B937" s="17"/>
      <c r="C937" s="17"/>
      <c r="D937" s="8"/>
      <c r="E937" s="16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17"/>
      <c r="B938" s="17"/>
      <c r="C938" s="17"/>
      <c r="D938" s="8"/>
      <c r="E938" s="16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17"/>
      <c r="B939" s="17"/>
      <c r="C939" s="17"/>
      <c r="D939" s="8"/>
      <c r="E939" s="16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17"/>
      <c r="B940" s="17"/>
      <c r="C940" s="17"/>
      <c r="D940" s="8"/>
      <c r="E940" s="16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17"/>
      <c r="B941" s="17"/>
      <c r="C941" s="17"/>
      <c r="D941" s="8"/>
      <c r="E941" s="16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17"/>
      <c r="B942" s="17"/>
      <c r="C942" s="17"/>
      <c r="D942" s="8"/>
      <c r="E942" s="16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17"/>
      <c r="B943" s="17"/>
      <c r="C943" s="17"/>
      <c r="D943" s="8"/>
      <c r="E943" s="16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17"/>
      <c r="B944" s="17"/>
      <c r="C944" s="17"/>
      <c r="D944" s="8"/>
      <c r="E944" s="16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17"/>
      <c r="B945" s="17"/>
      <c r="C945" s="17"/>
      <c r="D945" s="8"/>
      <c r="E945" s="16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17"/>
      <c r="B946" s="17"/>
      <c r="C946" s="17"/>
      <c r="D946" s="8"/>
      <c r="E946" s="16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17"/>
      <c r="B947" s="17"/>
      <c r="C947" s="17"/>
      <c r="D947" s="8"/>
      <c r="E947" s="16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17"/>
      <c r="B948" s="17"/>
      <c r="C948" s="17"/>
      <c r="D948" s="8"/>
      <c r="E948" s="16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17"/>
      <c r="B949" s="17"/>
      <c r="C949" s="17"/>
      <c r="D949" s="8"/>
      <c r="E949" s="16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17"/>
      <c r="B950" s="17"/>
      <c r="C950" s="17"/>
      <c r="D950" s="8"/>
      <c r="E950" s="16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17"/>
      <c r="B951" s="17"/>
      <c r="C951" s="17"/>
      <c r="D951" s="8"/>
      <c r="E951" s="16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17"/>
      <c r="B952" s="17"/>
      <c r="C952" s="17"/>
      <c r="D952" s="8"/>
      <c r="E952" s="16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17"/>
      <c r="B953" s="17"/>
      <c r="C953" s="17"/>
      <c r="D953" s="8"/>
      <c r="E953" s="16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17"/>
      <c r="B954" s="17"/>
      <c r="C954" s="17"/>
      <c r="D954" s="8"/>
      <c r="E954" s="16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17"/>
      <c r="B955" s="17"/>
      <c r="C955" s="17"/>
      <c r="D955" s="8"/>
      <c r="E955" s="16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17"/>
      <c r="B956" s="17"/>
      <c r="C956" s="17"/>
      <c r="D956" s="8"/>
      <c r="E956" s="16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17"/>
      <c r="B957" s="17"/>
      <c r="C957" s="17"/>
      <c r="D957" s="8"/>
      <c r="E957" s="16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17"/>
      <c r="B958" s="17"/>
      <c r="C958" s="17"/>
      <c r="D958" s="8"/>
      <c r="E958" s="16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17"/>
      <c r="B959" s="17"/>
      <c r="C959" s="17"/>
      <c r="D959" s="8"/>
      <c r="E959" s="16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17"/>
      <c r="B960" s="17"/>
      <c r="C960" s="17"/>
      <c r="D960" s="8"/>
      <c r="E960" s="16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17"/>
      <c r="B961" s="17"/>
      <c r="C961" s="17"/>
      <c r="D961" s="8"/>
      <c r="E961" s="16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17"/>
      <c r="B962" s="17"/>
      <c r="C962" s="17"/>
      <c r="D962" s="8"/>
      <c r="E962" s="16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17"/>
      <c r="B963" s="17"/>
      <c r="C963" s="17"/>
      <c r="D963" s="8"/>
      <c r="E963" s="16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17"/>
      <c r="B964" s="17"/>
      <c r="C964" s="17"/>
      <c r="D964" s="8"/>
      <c r="E964" s="16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17"/>
      <c r="B965" s="17"/>
      <c r="C965" s="17"/>
      <c r="D965" s="8"/>
      <c r="E965" s="16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17"/>
      <c r="B966" s="17"/>
      <c r="C966" s="17"/>
      <c r="D966" s="8"/>
      <c r="E966" s="16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17"/>
      <c r="B967" s="17"/>
      <c r="C967" s="17"/>
      <c r="D967" s="8"/>
      <c r="E967" s="16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17"/>
      <c r="B968" s="17"/>
      <c r="C968" s="17"/>
      <c r="D968" s="8"/>
      <c r="E968" s="16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17"/>
      <c r="B969" s="17"/>
      <c r="C969" s="17"/>
      <c r="D969" s="8"/>
      <c r="E969" s="16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17"/>
      <c r="B970" s="17"/>
      <c r="C970" s="17"/>
      <c r="D970" s="8"/>
      <c r="E970" s="16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17"/>
      <c r="B971" s="17"/>
      <c r="C971" s="17"/>
      <c r="D971" s="8"/>
      <c r="E971" s="16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17"/>
      <c r="B972" s="17"/>
      <c r="C972" s="17"/>
      <c r="D972" s="8"/>
      <c r="E972" s="16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17"/>
      <c r="B973" s="17"/>
      <c r="C973" s="17"/>
      <c r="D973" s="8"/>
      <c r="E973" s="16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17"/>
      <c r="B974" s="17"/>
      <c r="C974" s="17"/>
      <c r="D974" s="8"/>
      <c r="E974" s="16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17"/>
      <c r="B975" s="17"/>
      <c r="C975" s="17"/>
      <c r="D975" s="8"/>
      <c r="E975" s="16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17"/>
      <c r="B976" s="17"/>
      <c r="C976" s="17"/>
      <c r="D976" s="8"/>
      <c r="E976" s="16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17"/>
      <c r="B977" s="17"/>
      <c r="C977" s="17"/>
      <c r="D977" s="8"/>
      <c r="E977" s="16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17"/>
      <c r="B978" s="17"/>
      <c r="C978" s="17"/>
      <c r="D978" s="8"/>
      <c r="E978" s="16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17"/>
      <c r="B979" s="17"/>
      <c r="C979" s="17"/>
      <c r="D979" s="8"/>
      <c r="E979" s="16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17"/>
      <c r="B980" s="17"/>
      <c r="C980" s="17"/>
      <c r="D980" s="8"/>
      <c r="E980" s="16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17"/>
      <c r="B981" s="17"/>
      <c r="C981" s="17"/>
      <c r="D981" s="8"/>
      <c r="E981" s="16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17"/>
      <c r="B982" s="17"/>
      <c r="C982" s="17"/>
      <c r="D982" s="8"/>
      <c r="E982" s="16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17"/>
      <c r="B983" s="17"/>
      <c r="C983" s="17"/>
      <c r="D983" s="8"/>
      <c r="E983" s="16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17"/>
      <c r="B984" s="17"/>
      <c r="C984" s="17"/>
      <c r="D984" s="8"/>
      <c r="E984" s="16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17"/>
      <c r="B985" s="17"/>
      <c r="C985" s="17"/>
      <c r="D985" s="8"/>
      <c r="E985" s="16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17"/>
      <c r="B986" s="17"/>
      <c r="C986" s="17"/>
      <c r="D986" s="8"/>
      <c r="E986" s="16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17"/>
      <c r="B987" s="17"/>
      <c r="C987" s="17"/>
      <c r="D987" s="8"/>
      <c r="E987" s="16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17"/>
      <c r="B988" s="17"/>
      <c r="C988" s="17"/>
      <c r="D988" s="8"/>
      <c r="E988" s="16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17"/>
      <c r="B989" s="17"/>
      <c r="C989" s="17"/>
      <c r="D989" s="8"/>
      <c r="E989" s="16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17"/>
      <c r="B990" s="17"/>
      <c r="C990" s="17"/>
      <c r="D990" s="8"/>
      <c r="E990" s="16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17"/>
      <c r="B991" s="17"/>
      <c r="C991" s="17"/>
      <c r="D991" s="8"/>
      <c r="E991" s="16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17"/>
      <c r="B992" s="17"/>
      <c r="C992" s="17"/>
      <c r="D992" s="8"/>
      <c r="E992" s="16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17"/>
      <c r="B993" s="17"/>
      <c r="C993" s="17"/>
      <c r="D993" s="8"/>
      <c r="E993" s="16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17"/>
      <c r="B994" s="17"/>
      <c r="C994" s="17"/>
      <c r="D994" s="8"/>
      <c r="E994" s="16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17"/>
      <c r="B995" s="17"/>
      <c r="C995" s="17"/>
      <c r="D995" s="8"/>
      <c r="E995" s="16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17"/>
      <c r="B996" s="17"/>
      <c r="C996" s="17"/>
      <c r="D996" s="8"/>
      <c r="E996" s="16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17"/>
      <c r="B997" s="17"/>
      <c r="C997" s="17"/>
      <c r="D997" s="8"/>
      <c r="E997" s="16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17"/>
      <c r="B998" s="17"/>
      <c r="C998" s="17"/>
      <c r="D998" s="8"/>
      <c r="E998" s="16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17"/>
      <c r="B999" s="17"/>
      <c r="C999" s="17"/>
      <c r="D999" s="8"/>
      <c r="E999" s="16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17"/>
      <c r="B1000" s="17"/>
      <c r="C1000" s="17"/>
      <c r="D1000" s="8"/>
      <c r="E1000" s="16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17"/>
      <c r="B1001" s="17"/>
      <c r="C1001" s="17"/>
      <c r="D1001" s="8"/>
      <c r="E1001" s="16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17"/>
      <c r="B1002" s="17"/>
      <c r="C1002" s="17"/>
      <c r="D1002" s="8"/>
      <c r="E1002" s="16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17"/>
      <c r="B1003" s="17"/>
      <c r="C1003" s="17"/>
      <c r="D1003" s="8"/>
      <c r="E1003" s="16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17"/>
      <c r="B1004" s="17"/>
      <c r="C1004" s="17"/>
      <c r="D1004" s="8"/>
      <c r="E1004" s="16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17"/>
      <c r="B1005" s="17"/>
      <c r="C1005" s="17"/>
      <c r="D1005" s="8"/>
      <c r="E1005" s="16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17"/>
      <c r="B1006" s="17"/>
      <c r="C1006" s="17"/>
      <c r="D1006" s="8"/>
      <c r="E1006" s="16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17"/>
      <c r="B1007" s="17"/>
      <c r="C1007" s="17"/>
      <c r="D1007" s="8"/>
      <c r="E1007" s="16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>
      <c r="A1008" s="17"/>
      <c r="B1008" s="17"/>
      <c r="C1008" s="17"/>
      <c r="D1008" s="8"/>
      <c r="E1008" s="16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>
      <c r="A1009" s="17"/>
      <c r="B1009" s="17"/>
      <c r="C1009" s="17"/>
      <c r="D1009" s="8"/>
      <c r="E1009" s="16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>
      <c r="A1010" s="17"/>
      <c r="B1010" s="17"/>
      <c r="C1010" s="17"/>
      <c r="D1010" s="8"/>
      <c r="E1010" s="16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>
      <c r="A1011" s="17"/>
      <c r="B1011" s="17"/>
      <c r="C1011" s="17"/>
      <c r="D1011" s="8"/>
      <c r="E1011" s="16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>
      <c r="A1012" s="17"/>
      <c r="B1012" s="17"/>
      <c r="C1012" s="17"/>
      <c r="D1012" s="8"/>
      <c r="E1012" s="16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>
      <c r="A1013" s="17"/>
      <c r="B1013" s="17"/>
      <c r="C1013" s="17"/>
      <c r="D1013" s="8"/>
      <c r="E1013" s="16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>
      <c r="A1014" s="17"/>
      <c r="B1014" s="17"/>
      <c r="C1014" s="17"/>
      <c r="D1014" s="8"/>
      <c r="E1014" s="16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>
      <c r="A1015" s="17"/>
      <c r="B1015" s="17"/>
      <c r="C1015" s="17"/>
      <c r="D1015" s="8"/>
      <c r="E1015" s="16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>
      <c r="A1016" s="17"/>
      <c r="B1016" s="17"/>
      <c r="C1016" s="17"/>
      <c r="D1016" s="8"/>
      <c r="E1016" s="16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>
      <c r="A1017" s="17"/>
      <c r="B1017" s="17"/>
      <c r="C1017" s="17"/>
      <c r="D1017" s="8"/>
      <c r="E1017" s="16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>
      <c r="A1018" s="17"/>
      <c r="B1018" s="17"/>
      <c r="C1018" s="17"/>
      <c r="D1018" s="8"/>
      <c r="E1018" s="16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>
      <c r="A1019" s="17"/>
      <c r="B1019" s="17"/>
      <c r="C1019" s="17"/>
      <c r="D1019" s="8"/>
      <c r="E1019" s="16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>
      <c r="A1020" s="17"/>
      <c r="B1020" s="17"/>
      <c r="C1020" s="17"/>
      <c r="D1020" s="8"/>
      <c r="E1020" s="16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>
      <c r="A1021" s="17"/>
      <c r="B1021" s="17"/>
      <c r="C1021" s="17"/>
      <c r="D1021" s="8"/>
      <c r="E1021" s="16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>
      <c r="A1022" s="17"/>
      <c r="B1022" s="17"/>
      <c r="C1022" s="17"/>
      <c r="D1022" s="8"/>
      <c r="E1022" s="16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>
      <c r="A1023" s="17"/>
      <c r="B1023" s="17"/>
      <c r="C1023" s="17"/>
      <c r="D1023" s="8"/>
      <c r="E1023" s="16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>
      <c r="A1024" s="17"/>
      <c r="B1024" s="17"/>
      <c r="C1024" s="17"/>
      <c r="D1024" s="8"/>
      <c r="E1024" s="16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>
      <c r="A1025" s="17"/>
      <c r="B1025" s="17"/>
      <c r="C1025" s="17"/>
      <c r="D1025" s="8"/>
      <c r="E1025" s="16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>
      <c r="A1026" s="17"/>
      <c r="B1026" s="17"/>
      <c r="C1026" s="17"/>
      <c r="D1026" s="8"/>
      <c r="E1026" s="16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>
      <c r="A1027" s="17"/>
      <c r="B1027" s="17"/>
      <c r="C1027" s="17"/>
      <c r="D1027" s="8"/>
      <c r="E1027" s="16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>
      <c r="A1028" s="17"/>
      <c r="B1028" s="17"/>
      <c r="C1028" s="17"/>
      <c r="D1028" s="8"/>
      <c r="E1028" s="16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</sheetData>
  <hyperlinks>
    <hyperlink r:id="rId1" ref="E63"/>
    <hyperlink r:id="rId2" ref="E69"/>
    <hyperlink r:id="rId3" ref="E81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47.25"/>
    <col customWidth="1" min="3" max="3" width="42.63"/>
  </cols>
  <sheetData>
    <row r="1">
      <c r="A1" s="1"/>
      <c r="B1" s="3"/>
      <c r="C1" s="281"/>
    </row>
    <row r="2">
      <c r="A2" s="282"/>
      <c r="B2" s="24"/>
      <c r="C2" s="283"/>
    </row>
    <row r="3">
      <c r="A3" s="284" t="s">
        <v>376</v>
      </c>
      <c r="B3" s="30"/>
      <c r="C3" s="285"/>
    </row>
    <row r="4">
      <c r="A4" s="165" t="s">
        <v>377</v>
      </c>
      <c r="B4" s="159"/>
      <c r="C4" s="285"/>
    </row>
    <row r="5">
      <c r="A5" s="165" t="s">
        <v>378</v>
      </c>
      <c r="B5" s="286">
        <v>1000.0</v>
      </c>
      <c r="C5" s="285"/>
    </row>
    <row r="6">
      <c r="A6" s="165" t="s">
        <v>379</v>
      </c>
      <c r="B6" s="286">
        <f>B5*12</f>
        <v>12000</v>
      </c>
      <c r="C6" s="285"/>
    </row>
    <row r="7">
      <c r="A7" s="165" t="s">
        <v>380</v>
      </c>
      <c r="B7" s="255">
        <v>10000.0</v>
      </c>
      <c r="C7" s="285"/>
    </row>
    <row r="8">
      <c r="A8" s="165" t="s">
        <v>381</v>
      </c>
      <c r="B8" s="286">
        <f>B6*B7</f>
        <v>120000000</v>
      </c>
      <c r="C8" s="285"/>
    </row>
    <row r="9">
      <c r="A9" s="165" t="s">
        <v>382</v>
      </c>
      <c r="B9" s="286">
        <f>B8*3%</f>
        <v>3600000</v>
      </c>
      <c r="C9" s="287" t="s">
        <v>383</v>
      </c>
    </row>
    <row r="10">
      <c r="A10" s="165" t="s">
        <v>384</v>
      </c>
      <c r="B10" s="43">
        <f>(13%+30%+1/12+1/12/2+1/12/2)</f>
        <v>0.5966666667</v>
      </c>
      <c r="C10" s="288"/>
    </row>
    <row r="11">
      <c r="A11" s="289" t="s">
        <v>385</v>
      </c>
      <c r="B11" s="290">
        <f>B9*(1+B10)</f>
        <v>5748000</v>
      </c>
      <c r="C11" s="285"/>
    </row>
    <row r="12">
      <c r="A12" s="165"/>
      <c r="B12" s="286"/>
      <c r="C12" s="287"/>
    </row>
    <row r="13">
      <c r="A13" s="284" t="s">
        <v>386</v>
      </c>
      <c r="B13" s="28"/>
      <c r="C13" s="283"/>
    </row>
    <row r="14">
      <c r="A14" s="165" t="s">
        <v>387</v>
      </c>
      <c r="B14" s="28"/>
      <c r="C14" s="283"/>
    </row>
    <row r="15">
      <c r="A15" s="291" t="s">
        <v>380</v>
      </c>
      <c r="B15" s="28">
        <v>10000.0</v>
      </c>
      <c r="C15" s="283"/>
    </row>
    <row r="16">
      <c r="A16" s="291" t="s">
        <v>388</v>
      </c>
      <c r="B16" s="100">
        <v>0.2</v>
      </c>
      <c r="C16" s="287"/>
    </row>
    <row r="17">
      <c r="A17" s="291" t="s">
        <v>389</v>
      </c>
      <c r="B17" s="100">
        <f>(69/3)%</f>
        <v>0.23</v>
      </c>
      <c r="C17" s="287" t="s">
        <v>390</v>
      </c>
    </row>
    <row r="18">
      <c r="A18" s="291" t="s">
        <v>391</v>
      </c>
      <c r="B18" s="100">
        <f>B16*(1-B17)</f>
        <v>0.154</v>
      </c>
      <c r="C18" s="285"/>
    </row>
    <row r="19">
      <c r="A19" s="291" t="s">
        <v>392</v>
      </c>
      <c r="B19" s="24">
        <f>B15*(B16-B18)</f>
        <v>460</v>
      </c>
      <c r="C19" s="285"/>
    </row>
    <row r="20">
      <c r="A20" s="291" t="s">
        <v>393</v>
      </c>
      <c r="B20" s="286">
        <v>1000.0</v>
      </c>
      <c r="C20" s="287"/>
    </row>
    <row r="21">
      <c r="A21" s="291" t="s">
        <v>394</v>
      </c>
      <c r="B21" s="100">
        <v>0.15</v>
      </c>
      <c r="C21" s="292" t="s">
        <v>395</v>
      </c>
    </row>
    <row r="22">
      <c r="A22" s="291" t="s">
        <v>396</v>
      </c>
      <c r="B22" s="286">
        <f>B20*12*B21</f>
        <v>1800</v>
      </c>
      <c r="C22" s="283"/>
    </row>
    <row r="23">
      <c r="A23" s="293" t="s">
        <v>397</v>
      </c>
      <c r="B23" s="290">
        <f>B19*B22</f>
        <v>828000</v>
      </c>
      <c r="C23" s="287"/>
    </row>
    <row r="24">
      <c r="A24" s="291"/>
      <c r="B24" s="100"/>
      <c r="C24" s="292"/>
    </row>
    <row r="25">
      <c r="A25" s="284" t="s">
        <v>398</v>
      </c>
      <c r="B25" s="24"/>
      <c r="C25" s="283"/>
    </row>
    <row r="26">
      <c r="A26" s="165" t="s">
        <v>399</v>
      </c>
      <c r="B26" s="94"/>
      <c r="C26" s="287"/>
    </row>
    <row r="27">
      <c r="A27" s="291" t="s">
        <v>400</v>
      </c>
      <c r="B27" s="286">
        <v>1000.0</v>
      </c>
      <c r="C27" s="287"/>
    </row>
    <row r="28">
      <c r="A28" s="291" t="s">
        <v>401</v>
      </c>
      <c r="B28" s="286">
        <f>B27*12</f>
        <v>12000</v>
      </c>
      <c r="C28" s="287"/>
    </row>
    <row r="29">
      <c r="A29" s="291" t="s">
        <v>402</v>
      </c>
      <c r="B29" s="100">
        <v>0.15</v>
      </c>
      <c r="C29" s="292" t="s">
        <v>403</v>
      </c>
    </row>
    <row r="30">
      <c r="A30" s="291" t="s">
        <v>404</v>
      </c>
      <c r="B30" s="286">
        <f>B28*B29</f>
        <v>1800</v>
      </c>
      <c r="C30" s="287"/>
    </row>
    <row r="31">
      <c r="A31" s="291" t="s">
        <v>405</v>
      </c>
      <c r="B31" s="286">
        <f>B30*43%/3</f>
        <v>258</v>
      </c>
      <c r="C31" s="292" t="s">
        <v>406</v>
      </c>
    </row>
    <row r="32">
      <c r="A32" s="291" t="s">
        <v>407</v>
      </c>
      <c r="B32" s="28">
        <v>10000.0</v>
      </c>
      <c r="C32" s="283"/>
    </row>
    <row r="33">
      <c r="A33" s="291" t="s">
        <v>408</v>
      </c>
      <c r="B33" s="100">
        <v>0.1</v>
      </c>
      <c r="C33" s="283"/>
    </row>
    <row r="34">
      <c r="A34" s="291" t="s">
        <v>409</v>
      </c>
      <c r="B34" s="28">
        <f>B32*B33</f>
        <v>1000</v>
      </c>
      <c r="C34" s="283"/>
    </row>
    <row r="35">
      <c r="A35" s="293" t="s">
        <v>410</v>
      </c>
      <c r="B35" s="290">
        <f>B31*B34</f>
        <v>258000</v>
      </c>
      <c r="C35" s="283"/>
    </row>
    <row r="36">
      <c r="C36" s="294"/>
    </row>
    <row r="37">
      <c r="C37" s="294"/>
    </row>
    <row r="38">
      <c r="C38" s="294"/>
    </row>
    <row r="39">
      <c r="C39" s="294"/>
    </row>
    <row r="40">
      <c r="C40" s="294"/>
    </row>
    <row r="41">
      <c r="C41" s="294"/>
    </row>
    <row r="42">
      <c r="C42" s="294"/>
    </row>
    <row r="43">
      <c r="C43" s="294"/>
    </row>
    <row r="44">
      <c r="C44" s="294"/>
    </row>
    <row r="45">
      <c r="C45" s="294"/>
    </row>
    <row r="46">
      <c r="C46" s="294"/>
    </row>
    <row r="47">
      <c r="C47" s="294"/>
    </row>
    <row r="48">
      <c r="C48" s="294"/>
    </row>
    <row r="49">
      <c r="C49" s="294"/>
    </row>
    <row r="50">
      <c r="C50" s="294"/>
    </row>
    <row r="51">
      <c r="C51" s="294"/>
    </row>
    <row r="52">
      <c r="C52" s="294"/>
    </row>
    <row r="53">
      <c r="C53" s="294"/>
    </row>
    <row r="54">
      <c r="C54" s="294"/>
    </row>
    <row r="55">
      <c r="C55" s="294"/>
    </row>
    <row r="56">
      <c r="C56" s="294"/>
    </row>
    <row r="57">
      <c r="C57" s="294"/>
    </row>
    <row r="58">
      <c r="C58" s="294"/>
    </row>
    <row r="59">
      <c r="C59" s="294"/>
    </row>
    <row r="60">
      <c r="C60" s="294"/>
    </row>
    <row r="61">
      <c r="C61" s="294"/>
    </row>
    <row r="62">
      <c r="C62" s="294"/>
    </row>
    <row r="63">
      <c r="C63" s="294"/>
    </row>
    <row r="64">
      <c r="C64" s="294"/>
    </row>
    <row r="65">
      <c r="C65" s="294"/>
    </row>
    <row r="66">
      <c r="C66" s="294"/>
    </row>
    <row r="67">
      <c r="C67" s="294"/>
    </row>
    <row r="68">
      <c r="C68" s="294"/>
    </row>
    <row r="69">
      <c r="C69" s="294"/>
    </row>
    <row r="70">
      <c r="C70" s="294"/>
    </row>
    <row r="71">
      <c r="C71" s="294"/>
    </row>
    <row r="72">
      <c r="C72" s="294"/>
    </row>
    <row r="73">
      <c r="C73" s="294"/>
    </row>
    <row r="74">
      <c r="C74" s="294"/>
    </row>
    <row r="75">
      <c r="C75" s="294"/>
    </row>
    <row r="76">
      <c r="C76" s="294"/>
    </row>
    <row r="77">
      <c r="C77" s="294"/>
    </row>
    <row r="78">
      <c r="C78" s="294"/>
    </row>
    <row r="79">
      <c r="C79" s="294"/>
    </row>
    <row r="80">
      <c r="C80" s="294"/>
    </row>
    <row r="81">
      <c r="C81" s="294"/>
    </row>
    <row r="82">
      <c r="C82" s="294"/>
    </row>
    <row r="83">
      <c r="C83" s="294"/>
    </row>
    <row r="84">
      <c r="C84" s="294"/>
    </row>
    <row r="85">
      <c r="C85" s="294"/>
    </row>
    <row r="86">
      <c r="C86" s="294"/>
    </row>
    <row r="87">
      <c r="C87" s="294"/>
    </row>
    <row r="88">
      <c r="C88" s="294"/>
    </row>
    <row r="89">
      <c r="C89" s="294"/>
    </row>
    <row r="90">
      <c r="C90" s="294"/>
    </row>
    <row r="91">
      <c r="C91" s="294"/>
    </row>
    <row r="92">
      <c r="C92" s="294"/>
    </row>
    <row r="93">
      <c r="C93" s="294"/>
    </row>
    <row r="94">
      <c r="C94" s="294"/>
    </row>
    <row r="95">
      <c r="C95" s="294"/>
    </row>
    <row r="96">
      <c r="C96" s="294"/>
    </row>
    <row r="97">
      <c r="C97" s="294"/>
    </row>
    <row r="98">
      <c r="C98" s="294"/>
    </row>
    <row r="99">
      <c r="C99" s="294"/>
    </row>
    <row r="100">
      <c r="C100" s="294"/>
    </row>
    <row r="101">
      <c r="C101" s="294"/>
    </row>
    <row r="102">
      <c r="C102" s="294"/>
    </row>
    <row r="103">
      <c r="C103" s="294"/>
    </row>
    <row r="104">
      <c r="C104" s="294"/>
    </row>
    <row r="105">
      <c r="C105" s="294"/>
    </row>
    <row r="106">
      <c r="C106" s="294"/>
    </row>
    <row r="107">
      <c r="C107" s="294"/>
    </row>
    <row r="108">
      <c r="C108" s="294"/>
    </row>
    <row r="109">
      <c r="C109" s="294"/>
    </row>
    <row r="110">
      <c r="C110" s="294"/>
    </row>
    <row r="111">
      <c r="C111" s="294"/>
    </row>
    <row r="112">
      <c r="C112" s="294"/>
    </row>
    <row r="113">
      <c r="C113" s="294"/>
    </row>
    <row r="114">
      <c r="C114" s="294"/>
    </row>
    <row r="115">
      <c r="C115" s="294"/>
    </row>
    <row r="116">
      <c r="C116" s="294"/>
    </row>
    <row r="117">
      <c r="C117" s="294"/>
    </row>
    <row r="118">
      <c r="C118" s="294"/>
    </row>
    <row r="119">
      <c r="C119" s="294"/>
    </row>
    <row r="120">
      <c r="C120" s="294"/>
    </row>
    <row r="121">
      <c r="C121" s="294"/>
    </row>
    <row r="122">
      <c r="C122" s="294"/>
    </row>
    <row r="123">
      <c r="C123" s="294"/>
    </row>
    <row r="124">
      <c r="C124" s="294"/>
    </row>
    <row r="125">
      <c r="C125" s="294"/>
    </row>
    <row r="126">
      <c r="C126" s="294"/>
    </row>
    <row r="127">
      <c r="C127" s="294"/>
    </row>
    <row r="128">
      <c r="C128" s="294"/>
    </row>
    <row r="129">
      <c r="C129" s="294"/>
    </row>
    <row r="130">
      <c r="C130" s="294"/>
    </row>
    <row r="131">
      <c r="C131" s="294"/>
    </row>
    <row r="132">
      <c r="C132" s="294"/>
    </row>
    <row r="133">
      <c r="C133" s="294"/>
    </row>
    <row r="134">
      <c r="C134" s="294"/>
    </row>
    <row r="135">
      <c r="C135" s="294"/>
    </row>
    <row r="136">
      <c r="C136" s="294"/>
    </row>
    <row r="137">
      <c r="C137" s="294"/>
    </row>
    <row r="138">
      <c r="C138" s="294"/>
    </row>
    <row r="139">
      <c r="C139" s="294"/>
    </row>
    <row r="140">
      <c r="C140" s="294"/>
    </row>
    <row r="141">
      <c r="C141" s="294"/>
    </row>
    <row r="142">
      <c r="C142" s="294"/>
    </row>
    <row r="143">
      <c r="C143" s="294"/>
    </row>
    <row r="144">
      <c r="C144" s="294"/>
    </row>
    <row r="145">
      <c r="C145" s="294"/>
    </row>
    <row r="146">
      <c r="C146" s="294"/>
    </row>
    <row r="147">
      <c r="C147" s="294"/>
    </row>
    <row r="148">
      <c r="C148" s="294"/>
    </row>
    <row r="149">
      <c r="C149" s="294"/>
    </row>
    <row r="150">
      <c r="C150" s="294"/>
    </row>
    <row r="151">
      <c r="C151" s="294"/>
    </row>
    <row r="152">
      <c r="C152" s="294"/>
    </row>
    <row r="153">
      <c r="C153" s="294"/>
    </row>
    <row r="154">
      <c r="C154" s="294"/>
    </row>
    <row r="155">
      <c r="C155" s="294"/>
    </row>
    <row r="156">
      <c r="C156" s="294"/>
    </row>
    <row r="157">
      <c r="C157" s="294"/>
    </row>
    <row r="158">
      <c r="C158" s="294"/>
    </row>
    <row r="159">
      <c r="C159" s="294"/>
    </row>
    <row r="160">
      <c r="C160" s="294"/>
    </row>
    <row r="161">
      <c r="C161" s="294"/>
    </row>
    <row r="162">
      <c r="C162" s="294"/>
    </row>
    <row r="163">
      <c r="C163" s="294"/>
    </row>
    <row r="164">
      <c r="C164" s="294"/>
    </row>
    <row r="165">
      <c r="C165" s="294"/>
    </row>
    <row r="166">
      <c r="C166" s="294"/>
    </row>
    <row r="167">
      <c r="C167" s="294"/>
    </row>
    <row r="168">
      <c r="C168" s="294"/>
    </row>
    <row r="169">
      <c r="C169" s="294"/>
    </row>
    <row r="170">
      <c r="C170" s="294"/>
    </row>
    <row r="171">
      <c r="C171" s="294"/>
    </row>
    <row r="172">
      <c r="C172" s="294"/>
    </row>
    <row r="173">
      <c r="C173" s="294"/>
    </row>
    <row r="174">
      <c r="C174" s="294"/>
    </row>
    <row r="175">
      <c r="C175" s="294"/>
    </row>
    <row r="176">
      <c r="C176" s="294"/>
    </row>
    <row r="177">
      <c r="C177" s="294"/>
    </row>
    <row r="178">
      <c r="C178" s="294"/>
    </row>
    <row r="179">
      <c r="C179" s="294"/>
    </row>
    <row r="180">
      <c r="C180" s="294"/>
    </row>
    <row r="181">
      <c r="C181" s="294"/>
    </row>
    <row r="182">
      <c r="C182" s="294"/>
    </row>
    <row r="183">
      <c r="C183" s="294"/>
    </row>
    <row r="184">
      <c r="C184" s="294"/>
    </row>
    <row r="185">
      <c r="C185" s="294"/>
    </row>
    <row r="186">
      <c r="C186" s="294"/>
    </row>
    <row r="187">
      <c r="C187" s="294"/>
    </row>
    <row r="188">
      <c r="C188" s="294"/>
    </row>
    <row r="189">
      <c r="C189" s="294"/>
    </row>
    <row r="190">
      <c r="C190" s="294"/>
    </row>
    <row r="191">
      <c r="C191" s="294"/>
    </row>
    <row r="192">
      <c r="C192" s="294"/>
    </row>
    <row r="193">
      <c r="C193" s="294"/>
    </row>
    <row r="194">
      <c r="C194" s="294"/>
    </row>
    <row r="195">
      <c r="C195" s="294"/>
    </row>
    <row r="196">
      <c r="C196" s="294"/>
    </row>
    <row r="197">
      <c r="C197" s="294"/>
    </row>
    <row r="198">
      <c r="C198" s="294"/>
    </row>
    <row r="199">
      <c r="C199" s="294"/>
    </row>
    <row r="200">
      <c r="C200" s="294"/>
    </row>
    <row r="201">
      <c r="C201" s="294"/>
    </row>
    <row r="202">
      <c r="C202" s="294"/>
    </row>
    <row r="203">
      <c r="C203" s="294"/>
    </row>
    <row r="204">
      <c r="C204" s="294"/>
    </row>
    <row r="205">
      <c r="C205" s="294"/>
    </row>
    <row r="206">
      <c r="C206" s="294"/>
    </row>
    <row r="207">
      <c r="C207" s="294"/>
    </row>
    <row r="208">
      <c r="C208" s="294"/>
    </row>
    <row r="209">
      <c r="C209" s="294"/>
    </row>
    <row r="210">
      <c r="C210" s="294"/>
    </row>
    <row r="211">
      <c r="C211" s="294"/>
    </row>
    <row r="212">
      <c r="C212" s="294"/>
    </row>
    <row r="213">
      <c r="C213" s="294"/>
    </row>
    <row r="214">
      <c r="C214" s="294"/>
    </row>
    <row r="215">
      <c r="C215" s="294"/>
    </row>
    <row r="216">
      <c r="C216" s="294"/>
    </row>
    <row r="217">
      <c r="C217" s="294"/>
    </row>
    <row r="218">
      <c r="C218" s="294"/>
    </row>
    <row r="219">
      <c r="C219" s="294"/>
    </row>
    <row r="220">
      <c r="C220" s="294"/>
    </row>
    <row r="221">
      <c r="C221" s="294"/>
    </row>
    <row r="222">
      <c r="C222" s="294"/>
    </row>
    <row r="223">
      <c r="C223" s="294"/>
    </row>
    <row r="224">
      <c r="C224" s="294"/>
    </row>
    <row r="225">
      <c r="C225" s="294"/>
    </row>
    <row r="226">
      <c r="C226" s="294"/>
    </row>
    <row r="227">
      <c r="C227" s="294"/>
    </row>
    <row r="228">
      <c r="C228" s="294"/>
    </row>
    <row r="229">
      <c r="C229" s="294"/>
    </row>
    <row r="230">
      <c r="C230" s="294"/>
    </row>
    <row r="231">
      <c r="C231" s="294"/>
    </row>
    <row r="232">
      <c r="C232" s="294"/>
    </row>
    <row r="233">
      <c r="C233" s="294"/>
    </row>
    <row r="234">
      <c r="C234" s="294"/>
    </row>
    <row r="235">
      <c r="C235" s="294"/>
    </row>
    <row r="236">
      <c r="C236" s="294"/>
    </row>
    <row r="237">
      <c r="C237" s="294"/>
    </row>
    <row r="238">
      <c r="C238" s="294"/>
    </row>
    <row r="239">
      <c r="C239" s="294"/>
    </row>
    <row r="240">
      <c r="C240" s="294"/>
    </row>
    <row r="241">
      <c r="C241" s="294"/>
    </row>
    <row r="242">
      <c r="C242" s="294"/>
    </row>
    <row r="243">
      <c r="C243" s="294"/>
    </row>
    <row r="244">
      <c r="C244" s="294"/>
    </row>
    <row r="245">
      <c r="C245" s="294"/>
    </row>
    <row r="246">
      <c r="C246" s="294"/>
    </row>
    <row r="247">
      <c r="C247" s="294"/>
    </row>
    <row r="248">
      <c r="C248" s="294"/>
    </row>
    <row r="249">
      <c r="C249" s="294"/>
    </row>
    <row r="250">
      <c r="C250" s="294"/>
    </row>
    <row r="251">
      <c r="C251" s="294"/>
    </row>
    <row r="252">
      <c r="C252" s="294"/>
    </row>
    <row r="253">
      <c r="C253" s="294"/>
    </row>
    <row r="254">
      <c r="C254" s="294"/>
    </row>
    <row r="255">
      <c r="C255" s="294"/>
    </row>
    <row r="256">
      <c r="C256" s="294"/>
    </row>
    <row r="257">
      <c r="C257" s="294"/>
    </row>
    <row r="258">
      <c r="C258" s="294"/>
    </row>
    <row r="259">
      <c r="C259" s="294"/>
    </row>
    <row r="260">
      <c r="C260" s="294"/>
    </row>
    <row r="261">
      <c r="C261" s="294"/>
    </row>
    <row r="262">
      <c r="C262" s="294"/>
    </row>
    <row r="263">
      <c r="C263" s="294"/>
    </row>
    <row r="264">
      <c r="C264" s="294"/>
    </row>
    <row r="265">
      <c r="C265" s="294"/>
    </row>
    <row r="266">
      <c r="C266" s="294"/>
    </row>
    <row r="267">
      <c r="C267" s="294"/>
    </row>
    <row r="268">
      <c r="C268" s="294"/>
    </row>
    <row r="269">
      <c r="C269" s="294"/>
    </row>
    <row r="270">
      <c r="C270" s="294"/>
    </row>
    <row r="271">
      <c r="C271" s="294"/>
    </row>
    <row r="272">
      <c r="C272" s="294"/>
    </row>
    <row r="273">
      <c r="C273" s="294"/>
    </row>
    <row r="274">
      <c r="C274" s="294"/>
    </row>
    <row r="275">
      <c r="C275" s="294"/>
    </row>
    <row r="276">
      <c r="C276" s="294"/>
    </row>
    <row r="277">
      <c r="C277" s="294"/>
    </row>
    <row r="278">
      <c r="C278" s="294"/>
    </row>
    <row r="279">
      <c r="C279" s="294"/>
    </row>
    <row r="280">
      <c r="C280" s="294"/>
    </row>
    <row r="281">
      <c r="C281" s="294"/>
    </row>
    <row r="282">
      <c r="C282" s="294"/>
    </row>
    <row r="283">
      <c r="C283" s="294"/>
    </row>
    <row r="284">
      <c r="C284" s="294"/>
    </row>
    <row r="285">
      <c r="C285" s="294"/>
    </row>
    <row r="286">
      <c r="C286" s="294"/>
    </row>
    <row r="287">
      <c r="C287" s="294"/>
    </row>
    <row r="288">
      <c r="C288" s="294"/>
    </row>
    <row r="289">
      <c r="C289" s="294"/>
    </row>
    <row r="290">
      <c r="C290" s="294"/>
    </row>
    <row r="291">
      <c r="C291" s="294"/>
    </row>
    <row r="292">
      <c r="C292" s="294"/>
    </row>
    <row r="293">
      <c r="C293" s="294"/>
    </row>
    <row r="294">
      <c r="C294" s="294"/>
    </row>
    <row r="295">
      <c r="C295" s="294"/>
    </row>
    <row r="296">
      <c r="C296" s="294"/>
    </row>
    <row r="297">
      <c r="C297" s="294"/>
    </row>
    <row r="298">
      <c r="C298" s="294"/>
    </row>
    <row r="299">
      <c r="C299" s="294"/>
    </row>
    <row r="300">
      <c r="C300" s="294"/>
    </row>
    <row r="301">
      <c r="C301" s="294"/>
    </row>
    <row r="302">
      <c r="C302" s="294"/>
    </row>
    <row r="303">
      <c r="C303" s="294"/>
    </row>
    <row r="304">
      <c r="C304" s="294"/>
    </row>
    <row r="305">
      <c r="C305" s="294"/>
    </row>
    <row r="306">
      <c r="C306" s="294"/>
    </row>
    <row r="307">
      <c r="C307" s="294"/>
    </row>
    <row r="308">
      <c r="C308" s="294"/>
    </row>
    <row r="309">
      <c r="C309" s="294"/>
    </row>
    <row r="310">
      <c r="C310" s="294"/>
    </row>
    <row r="311">
      <c r="C311" s="294"/>
    </row>
    <row r="312">
      <c r="C312" s="294"/>
    </row>
    <row r="313">
      <c r="C313" s="294"/>
    </row>
    <row r="314">
      <c r="C314" s="294"/>
    </row>
    <row r="315">
      <c r="C315" s="294"/>
    </row>
    <row r="316">
      <c r="C316" s="294"/>
    </row>
    <row r="317">
      <c r="C317" s="294"/>
    </row>
    <row r="318">
      <c r="C318" s="294"/>
    </row>
    <row r="319">
      <c r="C319" s="294"/>
    </row>
    <row r="320">
      <c r="C320" s="294"/>
    </row>
    <row r="321">
      <c r="C321" s="294"/>
    </row>
    <row r="322">
      <c r="C322" s="294"/>
    </row>
    <row r="323">
      <c r="C323" s="294"/>
    </row>
    <row r="324">
      <c r="C324" s="294"/>
    </row>
    <row r="325">
      <c r="C325" s="294"/>
    </row>
    <row r="326">
      <c r="C326" s="294"/>
    </row>
    <row r="327">
      <c r="C327" s="294"/>
    </row>
    <row r="328">
      <c r="C328" s="294"/>
    </row>
    <row r="329">
      <c r="C329" s="294"/>
    </row>
    <row r="330">
      <c r="C330" s="294"/>
    </row>
    <row r="331">
      <c r="C331" s="294"/>
    </row>
    <row r="332">
      <c r="C332" s="294"/>
    </row>
    <row r="333">
      <c r="C333" s="294"/>
    </row>
    <row r="334">
      <c r="C334" s="294"/>
    </row>
    <row r="335">
      <c r="C335" s="294"/>
    </row>
    <row r="336">
      <c r="C336" s="294"/>
    </row>
    <row r="337">
      <c r="C337" s="294"/>
    </row>
    <row r="338">
      <c r="C338" s="294"/>
    </row>
    <row r="339">
      <c r="C339" s="294"/>
    </row>
    <row r="340">
      <c r="C340" s="294"/>
    </row>
    <row r="341">
      <c r="C341" s="294"/>
    </row>
    <row r="342">
      <c r="C342" s="294"/>
    </row>
    <row r="343">
      <c r="C343" s="294"/>
    </row>
    <row r="344">
      <c r="C344" s="294"/>
    </row>
    <row r="345">
      <c r="C345" s="294"/>
    </row>
    <row r="346">
      <c r="C346" s="294"/>
    </row>
    <row r="347">
      <c r="C347" s="294"/>
    </row>
    <row r="348">
      <c r="C348" s="294"/>
    </row>
    <row r="349">
      <c r="C349" s="294"/>
    </row>
    <row r="350">
      <c r="C350" s="294"/>
    </row>
    <row r="351">
      <c r="C351" s="294"/>
    </row>
    <row r="352">
      <c r="C352" s="294"/>
    </row>
    <row r="353">
      <c r="C353" s="294"/>
    </row>
    <row r="354">
      <c r="C354" s="294"/>
    </row>
    <row r="355">
      <c r="C355" s="294"/>
    </row>
    <row r="356">
      <c r="C356" s="294"/>
    </row>
    <row r="357">
      <c r="C357" s="294"/>
    </row>
    <row r="358">
      <c r="C358" s="294"/>
    </row>
    <row r="359">
      <c r="C359" s="294"/>
    </row>
    <row r="360">
      <c r="C360" s="294"/>
    </row>
    <row r="361">
      <c r="C361" s="294"/>
    </row>
    <row r="362">
      <c r="C362" s="294"/>
    </row>
    <row r="363">
      <c r="C363" s="294"/>
    </row>
    <row r="364">
      <c r="C364" s="294"/>
    </row>
    <row r="365">
      <c r="C365" s="294"/>
    </row>
    <row r="366">
      <c r="C366" s="294"/>
    </row>
    <row r="367">
      <c r="C367" s="294"/>
    </row>
    <row r="368">
      <c r="C368" s="294"/>
    </row>
    <row r="369">
      <c r="C369" s="294"/>
    </row>
    <row r="370">
      <c r="C370" s="294"/>
    </row>
    <row r="371">
      <c r="C371" s="294"/>
    </row>
    <row r="372">
      <c r="C372" s="294"/>
    </row>
    <row r="373">
      <c r="C373" s="294"/>
    </row>
    <row r="374">
      <c r="C374" s="294"/>
    </row>
    <row r="375">
      <c r="C375" s="294"/>
    </row>
    <row r="376">
      <c r="C376" s="294"/>
    </row>
    <row r="377">
      <c r="C377" s="294"/>
    </row>
    <row r="378">
      <c r="C378" s="294"/>
    </row>
    <row r="379">
      <c r="C379" s="294"/>
    </row>
    <row r="380">
      <c r="C380" s="294"/>
    </row>
    <row r="381">
      <c r="C381" s="294"/>
    </row>
    <row r="382">
      <c r="C382" s="294"/>
    </row>
    <row r="383">
      <c r="C383" s="294"/>
    </row>
    <row r="384">
      <c r="C384" s="294"/>
    </row>
    <row r="385">
      <c r="C385" s="294"/>
    </row>
    <row r="386">
      <c r="C386" s="294"/>
    </row>
    <row r="387">
      <c r="C387" s="294"/>
    </row>
    <row r="388">
      <c r="C388" s="294"/>
    </row>
    <row r="389">
      <c r="C389" s="294"/>
    </row>
    <row r="390">
      <c r="C390" s="294"/>
    </row>
    <row r="391">
      <c r="C391" s="294"/>
    </row>
    <row r="392">
      <c r="C392" s="294"/>
    </row>
    <row r="393">
      <c r="C393" s="294"/>
    </row>
    <row r="394">
      <c r="C394" s="294"/>
    </row>
    <row r="395">
      <c r="C395" s="294"/>
    </row>
    <row r="396">
      <c r="C396" s="294"/>
    </row>
    <row r="397">
      <c r="C397" s="294"/>
    </row>
    <row r="398">
      <c r="C398" s="294"/>
    </row>
    <row r="399">
      <c r="C399" s="294"/>
    </row>
    <row r="400">
      <c r="C400" s="294"/>
    </row>
    <row r="401">
      <c r="C401" s="294"/>
    </row>
    <row r="402">
      <c r="C402" s="294"/>
    </row>
    <row r="403">
      <c r="C403" s="294"/>
    </row>
    <row r="404">
      <c r="C404" s="294"/>
    </row>
    <row r="405">
      <c r="C405" s="294"/>
    </row>
    <row r="406">
      <c r="C406" s="294"/>
    </row>
    <row r="407">
      <c r="C407" s="294"/>
    </row>
    <row r="408">
      <c r="C408" s="294"/>
    </row>
    <row r="409">
      <c r="C409" s="294"/>
    </row>
    <row r="410">
      <c r="C410" s="294"/>
    </row>
    <row r="411">
      <c r="C411" s="294"/>
    </row>
    <row r="412">
      <c r="C412" s="294"/>
    </row>
    <row r="413">
      <c r="C413" s="294"/>
    </row>
    <row r="414">
      <c r="C414" s="294"/>
    </row>
    <row r="415">
      <c r="C415" s="294"/>
    </row>
    <row r="416">
      <c r="C416" s="294"/>
    </row>
    <row r="417">
      <c r="C417" s="294"/>
    </row>
    <row r="418">
      <c r="C418" s="294"/>
    </row>
    <row r="419">
      <c r="C419" s="294"/>
    </row>
    <row r="420">
      <c r="C420" s="294"/>
    </row>
    <row r="421">
      <c r="C421" s="294"/>
    </row>
    <row r="422">
      <c r="C422" s="294"/>
    </row>
    <row r="423">
      <c r="C423" s="294"/>
    </row>
    <row r="424">
      <c r="C424" s="294"/>
    </row>
    <row r="425">
      <c r="C425" s="294"/>
    </row>
    <row r="426">
      <c r="C426" s="294"/>
    </row>
    <row r="427">
      <c r="C427" s="294"/>
    </row>
    <row r="428">
      <c r="C428" s="294"/>
    </row>
    <row r="429">
      <c r="C429" s="294"/>
    </row>
    <row r="430">
      <c r="C430" s="294"/>
    </row>
    <row r="431">
      <c r="C431" s="294"/>
    </row>
    <row r="432">
      <c r="C432" s="294"/>
    </row>
    <row r="433">
      <c r="C433" s="294"/>
    </row>
    <row r="434">
      <c r="C434" s="294"/>
    </row>
    <row r="435">
      <c r="C435" s="294"/>
    </row>
    <row r="436">
      <c r="C436" s="294"/>
    </row>
    <row r="437">
      <c r="C437" s="294"/>
    </row>
    <row r="438">
      <c r="C438" s="294"/>
    </row>
    <row r="439">
      <c r="C439" s="294"/>
    </row>
    <row r="440">
      <c r="C440" s="294"/>
    </row>
    <row r="441">
      <c r="C441" s="294"/>
    </row>
    <row r="442">
      <c r="C442" s="294"/>
    </row>
    <row r="443">
      <c r="C443" s="294"/>
    </row>
    <row r="444">
      <c r="C444" s="294"/>
    </row>
    <row r="445">
      <c r="C445" s="294"/>
    </row>
    <row r="446">
      <c r="C446" s="294"/>
    </row>
    <row r="447">
      <c r="C447" s="294"/>
    </row>
    <row r="448">
      <c r="C448" s="294"/>
    </row>
    <row r="449">
      <c r="C449" s="294"/>
    </row>
    <row r="450">
      <c r="C450" s="294"/>
    </row>
    <row r="451">
      <c r="C451" s="294"/>
    </row>
    <row r="452">
      <c r="C452" s="294"/>
    </row>
    <row r="453">
      <c r="C453" s="294"/>
    </row>
    <row r="454">
      <c r="C454" s="294"/>
    </row>
    <row r="455">
      <c r="C455" s="294"/>
    </row>
    <row r="456">
      <c r="C456" s="294"/>
    </row>
    <row r="457">
      <c r="C457" s="294"/>
    </row>
    <row r="458">
      <c r="C458" s="294"/>
    </row>
    <row r="459">
      <c r="C459" s="294"/>
    </row>
    <row r="460">
      <c r="C460" s="294"/>
    </row>
    <row r="461">
      <c r="C461" s="294"/>
    </row>
    <row r="462">
      <c r="C462" s="294"/>
    </row>
    <row r="463">
      <c r="C463" s="294"/>
    </row>
    <row r="464">
      <c r="C464" s="294"/>
    </row>
    <row r="465">
      <c r="C465" s="294"/>
    </row>
    <row r="466">
      <c r="C466" s="294"/>
    </row>
    <row r="467">
      <c r="C467" s="294"/>
    </row>
    <row r="468">
      <c r="C468" s="294"/>
    </row>
    <row r="469">
      <c r="C469" s="294"/>
    </row>
    <row r="470">
      <c r="C470" s="294"/>
    </row>
    <row r="471">
      <c r="C471" s="294"/>
    </row>
    <row r="472">
      <c r="C472" s="294"/>
    </row>
    <row r="473">
      <c r="C473" s="294"/>
    </row>
    <row r="474">
      <c r="C474" s="294"/>
    </row>
    <row r="475">
      <c r="C475" s="294"/>
    </row>
    <row r="476">
      <c r="C476" s="294"/>
    </row>
    <row r="477">
      <c r="C477" s="294"/>
    </row>
    <row r="478">
      <c r="C478" s="294"/>
    </row>
    <row r="479">
      <c r="C479" s="294"/>
    </row>
    <row r="480">
      <c r="C480" s="294"/>
    </row>
    <row r="481">
      <c r="C481" s="294"/>
    </row>
    <row r="482">
      <c r="C482" s="294"/>
    </row>
    <row r="483">
      <c r="C483" s="294"/>
    </row>
    <row r="484">
      <c r="C484" s="294"/>
    </row>
    <row r="485">
      <c r="C485" s="294"/>
    </row>
    <row r="486">
      <c r="C486" s="294"/>
    </row>
    <row r="487">
      <c r="C487" s="294"/>
    </row>
    <row r="488">
      <c r="C488" s="294"/>
    </row>
    <row r="489">
      <c r="C489" s="294"/>
    </row>
    <row r="490">
      <c r="C490" s="294"/>
    </row>
    <row r="491">
      <c r="C491" s="294"/>
    </row>
    <row r="492">
      <c r="C492" s="294"/>
    </row>
    <row r="493">
      <c r="C493" s="294"/>
    </row>
    <row r="494">
      <c r="C494" s="294"/>
    </row>
    <row r="495">
      <c r="C495" s="294"/>
    </row>
    <row r="496">
      <c r="C496" s="294"/>
    </row>
    <row r="497">
      <c r="C497" s="294"/>
    </row>
    <row r="498">
      <c r="C498" s="294"/>
    </row>
    <row r="499">
      <c r="C499" s="294"/>
    </row>
    <row r="500">
      <c r="C500" s="294"/>
    </row>
    <row r="501">
      <c r="C501" s="294"/>
    </row>
    <row r="502">
      <c r="C502" s="294"/>
    </row>
    <row r="503">
      <c r="C503" s="294"/>
    </row>
    <row r="504">
      <c r="C504" s="294"/>
    </row>
    <row r="505">
      <c r="C505" s="294"/>
    </row>
    <row r="506">
      <c r="C506" s="294"/>
    </row>
    <row r="507">
      <c r="C507" s="294"/>
    </row>
    <row r="508">
      <c r="C508" s="294"/>
    </row>
    <row r="509">
      <c r="C509" s="294"/>
    </row>
    <row r="510">
      <c r="C510" s="294"/>
    </row>
    <row r="511">
      <c r="C511" s="294"/>
    </row>
    <row r="512">
      <c r="C512" s="294"/>
    </row>
    <row r="513">
      <c r="C513" s="294"/>
    </row>
    <row r="514">
      <c r="C514" s="294"/>
    </row>
    <row r="515">
      <c r="C515" s="294"/>
    </row>
    <row r="516">
      <c r="C516" s="294"/>
    </row>
    <row r="517">
      <c r="C517" s="294"/>
    </row>
    <row r="518">
      <c r="C518" s="294"/>
    </row>
    <row r="519">
      <c r="C519" s="294"/>
    </row>
    <row r="520">
      <c r="C520" s="294"/>
    </row>
    <row r="521">
      <c r="C521" s="294"/>
    </row>
    <row r="522">
      <c r="C522" s="294"/>
    </row>
    <row r="523">
      <c r="C523" s="294"/>
    </row>
    <row r="524">
      <c r="C524" s="294"/>
    </row>
    <row r="525">
      <c r="C525" s="294"/>
    </row>
    <row r="526">
      <c r="C526" s="294"/>
    </row>
    <row r="527">
      <c r="C527" s="294"/>
    </row>
    <row r="528">
      <c r="C528" s="294"/>
    </row>
    <row r="529">
      <c r="C529" s="294"/>
    </row>
    <row r="530">
      <c r="C530" s="294"/>
    </row>
    <row r="531">
      <c r="C531" s="294"/>
    </row>
    <row r="532">
      <c r="C532" s="294"/>
    </row>
    <row r="533">
      <c r="C533" s="294"/>
    </row>
    <row r="534">
      <c r="C534" s="294"/>
    </row>
    <row r="535">
      <c r="C535" s="294"/>
    </row>
    <row r="536">
      <c r="C536" s="294"/>
    </row>
    <row r="537">
      <c r="C537" s="294"/>
    </row>
    <row r="538">
      <c r="C538" s="294"/>
    </row>
    <row r="539">
      <c r="C539" s="294"/>
    </row>
    <row r="540">
      <c r="C540" s="294"/>
    </row>
    <row r="541">
      <c r="C541" s="294"/>
    </row>
    <row r="542">
      <c r="C542" s="294"/>
    </row>
    <row r="543">
      <c r="C543" s="294"/>
    </row>
    <row r="544">
      <c r="C544" s="294"/>
    </row>
    <row r="545">
      <c r="C545" s="294"/>
    </row>
    <row r="546">
      <c r="C546" s="294"/>
    </row>
    <row r="547">
      <c r="C547" s="294"/>
    </row>
    <row r="548">
      <c r="C548" s="294"/>
    </row>
    <row r="549">
      <c r="C549" s="294"/>
    </row>
    <row r="550">
      <c r="C550" s="294"/>
    </row>
    <row r="551">
      <c r="C551" s="294"/>
    </row>
    <row r="552">
      <c r="C552" s="294"/>
    </row>
    <row r="553">
      <c r="C553" s="294"/>
    </row>
    <row r="554">
      <c r="C554" s="294"/>
    </row>
    <row r="555">
      <c r="C555" s="294"/>
    </row>
    <row r="556">
      <c r="C556" s="294"/>
    </row>
    <row r="557">
      <c r="C557" s="294"/>
    </row>
    <row r="558">
      <c r="C558" s="294"/>
    </row>
    <row r="559">
      <c r="C559" s="294"/>
    </row>
    <row r="560">
      <c r="C560" s="294"/>
    </row>
    <row r="561">
      <c r="C561" s="294"/>
    </row>
    <row r="562">
      <c r="C562" s="294"/>
    </row>
    <row r="563">
      <c r="C563" s="294"/>
    </row>
    <row r="564">
      <c r="C564" s="294"/>
    </row>
    <row r="565">
      <c r="C565" s="294"/>
    </row>
    <row r="566">
      <c r="C566" s="294"/>
    </row>
    <row r="567">
      <c r="C567" s="294"/>
    </row>
    <row r="568">
      <c r="C568" s="294"/>
    </row>
    <row r="569">
      <c r="C569" s="294"/>
    </row>
    <row r="570">
      <c r="C570" s="294"/>
    </row>
    <row r="571">
      <c r="C571" s="294"/>
    </row>
    <row r="572">
      <c r="C572" s="294"/>
    </row>
    <row r="573">
      <c r="C573" s="294"/>
    </row>
    <row r="574">
      <c r="C574" s="294"/>
    </row>
    <row r="575">
      <c r="C575" s="294"/>
    </row>
    <row r="576">
      <c r="C576" s="294"/>
    </row>
    <row r="577">
      <c r="C577" s="294"/>
    </row>
    <row r="578">
      <c r="C578" s="294"/>
    </row>
    <row r="579">
      <c r="C579" s="294"/>
    </row>
    <row r="580">
      <c r="C580" s="294"/>
    </row>
    <row r="581">
      <c r="C581" s="294"/>
    </row>
    <row r="582">
      <c r="C582" s="294"/>
    </row>
    <row r="583">
      <c r="C583" s="294"/>
    </row>
    <row r="584">
      <c r="C584" s="294"/>
    </row>
    <row r="585">
      <c r="C585" s="294"/>
    </row>
    <row r="586">
      <c r="C586" s="294"/>
    </row>
    <row r="587">
      <c r="C587" s="294"/>
    </row>
    <row r="588">
      <c r="C588" s="294"/>
    </row>
    <row r="589">
      <c r="C589" s="294"/>
    </row>
    <row r="590">
      <c r="C590" s="294"/>
    </row>
    <row r="591">
      <c r="C591" s="294"/>
    </row>
    <row r="592">
      <c r="C592" s="294"/>
    </row>
    <row r="593">
      <c r="C593" s="294"/>
    </row>
    <row r="594">
      <c r="C594" s="294"/>
    </row>
    <row r="595">
      <c r="C595" s="294"/>
    </row>
    <row r="596">
      <c r="C596" s="294"/>
    </row>
    <row r="597">
      <c r="C597" s="294"/>
    </row>
    <row r="598">
      <c r="C598" s="294"/>
    </row>
    <row r="599">
      <c r="C599" s="294"/>
    </row>
    <row r="600">
      <c r="C600" s="294"/>
    </row>
    <row r="601">
      <c r="C601" s="294"/>
    </row>
    <row r="602">
      <c r="C602" s="294"/>
    </row>
    <row r="603">
      <c r="C603" s="294"/>
    </row>
    <row r="604">
      <c r="C604" s="294"/>
    </row>
    <row r="605">
      <c r="C605" s="294"/>
    </row>
    <row r="606">
      <c r="C606" s="294"/>
    </row>
    <row r="607">
      <c r="C607" s="294"/>
    </row>
    <row r="608">
      <c r="C608" s="294"/>
    </row>
    <row r="609">
      <c r="C609" s="294"/>
    </row>
    <row r="610">
      <c r="C610" s="294"/>
    </row>
    <row r="611">
      <c r="C611" s="294"/>
    </row>
    <row r="612">
      <c r="C612" s="294"/>
    </row>
    <row r="613">
      <c r="C613" s="294"/>
    </row>
    <row r="614">
      <c r="C614" s="294"/>
    </row>
    <row r="615">
      <c r="C615" s="294"/>
    </row>
    <row r="616">
      <c r="C616" s="294"/>
    </row>
    <row r="617">
      <c r="C617" s="294"/>
    </row>
    <row r="618">
      <c r="C618" s="294"/>
    </row>
    <row r="619">
      <c r="C619" s="294"/>
    </row>
    <row r="620">
      <c r="C620" s="294"/>
    </row>
    <row r="621">
      <c r="C621" s="294"/>
    </row>
    <row r="622">
      <c r="C622" s="294"/>
    </row>
    <row r="623">
      <c r="C623" s="294"/>
    </row>
    <row r="624">
      <c r="C624" s="294"/>
    </row>
    <row r="625">
      <c r="C625" s="294"/>
    </row>
    <row r="626">
      <c r="C626" s="294"/>
    </row>
    <row r="627">
      <c r="C627" s="294"/>
    </row>
    <row r="628">
      <c r="C628" s="294"/>
    </row>
    <row r="629">
      <c r="C629" s="294"/>
    </row>
    <row r="630">
      <c r="C630" s="294"/>
    </row>
    <row r="631">
      <c r="C631" s="294"/>
    </row>
    <row r="632">
      <c r="C632" s="294"/>
    </row>
    <row r="633">
      <c r="C633" s="294"/>
    </row>
    <row r="634">
      <c r="C634" s="294"/>
    </row>
    <row r="635">
      <c r="C635" s="294"/>
    </row>
    <row r="636">
      <c r="C636" s="294"/>
    </row>
    <row r="637">
      <c r="C637" s="294"/>
    </row>
    <row r="638">
      <c r="C638" s="294"/>
    </row>
    <row r="639">
      <c r="C639" s="294"/>
    </row>
    <row r="640">
      <c r="C640" s="294"/>
    </row>
    <row r="641">
      <c r="C641" s="294"/>
    </row>
    <row r="642">
      <c r="C642" s="294"/>
    </row>
    <row r="643">
      <c r="C643" s="294"/>
    </row>
    <row r="644">
      <c r="C644" s="294"/>
    </row>
    <row r="645">
      <c r="C645" s="294"/>
    </row>
    <row r="646">
      <c r="C646" s="294"/>
    </row>
    <row r="647">
      <c r="C647" s="294"/>
    </row>
    <row r="648">
      <c r="C648" s="294"/>
    </row>
    <row r="649">
      <c r="C649" s="294"/>
    </row>
    <row r="650">
      <c r="C650" s="294"/>
    </row>
    <row r="651">
      <c r="C651" s="294"/>
    </row>
    <row r="652">
      <c r="C652" s="294"/>
    </row>
    <row r="653">
      <c r="C653" s="294"/>
    </row>
    <row r="654">
      <c r="C654" s="294"/>
    </row>
    <row r="655">
      <c r="C655" s="294"/>
    </row>
    <row r="656">
      <c r="C656" s="294"/>
    </row>
    <row r="657">
      <c r="C657" s="294"/>
    </row>
    <row r="658">
      <c r="C658" s="294"/>
    </row>
    <row r="659">
      <c r="C659" s="294"/>
    </row>
    <row r="660">
      <c r="C660" s="294"/>
    </row>
    <row r="661">
      <c r="C661" s="294"/>
    </row>
    <row r="662">
      <c r="C662" s="294"/>
    </row>
    <row r="663">
      <c r="C663" s="294"/>
    </row>
    <row r="664">
      <c r="C664" s="294"/>
    </row>
    <row r="665">
      <c r="C665" s="294"/>
    </row>
    <row r="666">
      <c r="C666" s="294"/>
    </row>
    <row r="667">
      <c r="C667" s="294"/>
    </row>
    <row r="668">
      <c r="C668" s="294"/>
    </row>
    <row r="669">
      <c r="C669" s="294"/>
    </row>
    <row r="670">
      <c r="C670" s="294"/>
    </row>
    <row r="671">
      <c r="C671" s="294"/>
    </row>
    <row r="672">
      <c r="C672" s="294"/>
    </row>
    <row r="673">
      <c r="C673" s="294"/>
    </row>
    <row r="674">
      <c r="C674" s="294"/>
    </row>
    <row r="675">
      <c r="C675" s="294"/>
    </row>
    <row r="676">
      <c r="C676" s="294"/>
    </row>
    <row r="677">
      <c r="C677" s="294"/>
    </row>
    <row r="678">
      <c r="C678" s="294"/>
    </row>
    <row r="679">
      <c r="C679" s="294"/>
    </row>
    <row r="680">
      <c r="C680" s="294"/>
    </row>
    <row r="681">
      <c r="C681" s="294"/>
    </row>
    <row r="682">
      <c r="C682" s="294"/>
    </row>
    <row r="683">
      <c r="C683" s="294"/>
    </row>
    <row r="684">
      <c r="C684" s="294"/>
    </row>
    <row r="685">
      <c r="C685" s="294"/>
    </row>
    <row r="686">
      <c r="C686" s="294"/>
    </row>
    <row r="687">
      <c r="C687" s="294"/>
    </row>
    <row r="688">
      <c r="C688" s="294"/>
    </row>
    <row r="689">
      <c r="C689" s="294"/>
    </row>
    <row r="690">
      <c r="C690" s="294"/>
    </row>
    <row r="691">
      <c r="C691" s="294"/>
    </row>
    <row r="692">
      <c r="C692" s="294"/>
    </row>
    <row r="693">
      <c r="C693" s="294"/>
    </row>
    <row r="694">
      <c r="C694" s="294"/>
    </row>
    <row r="695">
      <c r="C695" s="294"/>
    </row>
    <row r="696">
      <c r="C696" s="294"/>
    </row>
    <row r="697">
      <c r="C697" s="294"/>
    </row>
    <row r="698">
      <c r="C698" s="294"/>
    </row>
    <row r="699">
      <c r="C699" s="294"/>
    </row>
    <row r="700">
      <c r="C700" s="294"/>
    </row>
    <row r="701">
      <c r="C701" s="294"/>
    </row>
    <row r="702">
      <c r="C702" s="294"/>
    </row>
    <row r="703">
      <c r="C703" s="294"/>
    </row>
    <row r="704">
      <c r="C704" s="294"/>
    </row>
    <row r="705">
      <c r="C705" s="294"/>
    </row>
    <row r="706">
      <c r="C706" s="294"/>
    </row>
    <row r="707">
      <c r="C707" s="294"/>
    </row>
    <row r="708">
      <c r="C708" s="294"/>
    </row>
    <row r="709">
      <c r="C709" s="294"/>
    </row>
    <row r="710">
      <c r="C710" s="294"/>
    </row>
    <row r="711">
      <c r="C711" s="294"/>
    </row>
    <row r="712">
      <c r="C712" s="294"/>
    </row>
    <row r="713">
      <c r="C713" s="294"/>
    </row>
    <row r="714">
      <c r="C714" s="294"/>
    </row>
    <row r="715">
      <c r="C715" s="294"/>
    </row>
    <row r="716">
      <c r="C716" s="294"/>
    </row>
    <row r="717">
      <c r="C717" s="294"/>
    </row>
    <row r="718">
      <c r="C718" s="294"/>
    </row>
    <row r="719">
      <c r="C719" s="294"/>
    </row>
    <row r="720">
      <c r="C720" s="294"/>
    </row>
    <row r="721">
      <c r="C721" s="294"/>
    </row>
    <row r="722">
      <c r="C722" s="294"/>
    </row>
    <row r="723">
      <c r="C723" s="294"/>
    </row>
    <row r="724">
      <c r="C724" s="294"/>
    </row>
    <row r="725">
      <c r="C725" s="294"/>
    </row>
    <row r="726">
      <c r="C726" s="294"/>
    </row>
    <row r="727">
      <c r="C727" s="294"/>
    </row>
    <row r="728">
      <c r="C728" s="294"/>
    </row>
    <row r="729">
      <c r="C729" s="294"/>
    </row>
    <row r="730">
      <c r="C730" s="294"/>
    </row>
    <row r="731">
      <c r="C731" s="294"/>
    </row>
    <row r="732">
      <c r="C732" s="294"/>
    </row>
    <row r="733">
      <c r="C733" s="294"/>
    </row>
    <row r="734">
      <c r="C734" s="294"/>
    </row>
    <row r="735">
      <c r="C735" s="294"/>
    </row>
    <row r="736">
      <c r="C736" s="294"/>
    </row>
    <row r="737">
      <c r="C737" s="294"/>
    </row>
    <row r="738">
      <c r="C738" s="294"/>
    </row>
    <row r="739">
      <c r="C739" s="294"/>
    </row>
    <row r="740">
      <c r="C740" s="294"/>
    </row>
    <row r="741">
      <c r="C741" s="294"/>
    </row>
    <row r="742">
      <c r="C742" s="294"/>
    </row>
    <row r="743">
      <c r="C743" s="294"/>
    </row>
    <row r="744">
      <c r="C744" s="294"/>
    </row>
    <row r="745">
      <c r="C745" s="294"/>
    </row>
    <row r="746">
      <c r="C746" s="294"/>
    </row>
    <row r="747">
      <c r="C747" s="294"/>
    </row>
    <row r="748">
      <c r="C748" s="294"/>
    </row>
    <row r="749">
      <c r="C749" s="294"/>
    </row>
    <row r="750">
      <c r="C750" s="294"/>
    </row>
    <row r="751">
      <c r="C751" s="294"/>
    </row>
    <row r="752">
      <c r="C752" s="294"/>
    </row>
    <row r="753">
      <c r="C753" s="294"/>
    </row>
    <row r="754">
      <c r="C754" s="294"/>
    </row>
    <row r="755">
      <c r="C755" s="294"/>
    </row>
    <row r="756">
      <c r="C756" s="294"/>
    </row>
    <row r="757">
      <c r="C757" s="294"/>
    </row>
    <row r="758">
      <c r="C758" s="294"/>
    </row>
    <row r="759">
      <c r="C759" s="294"/>
    </row>
    <row r="760">
      <c r="C760" s="294"/>
    </row>
    <row r="761">
      <c r="C761" s="294"/>
    </row>
    <row r="762">
      <c r="C762" s="294"/>
    </row>
    <row r="763">
      <c r="C763" s="294"/>
    </row>
    <row r="764">
      <c r="C764" s="294"/>
    </row>
    <row r="765">
      <c r="C765" s="294"/>
    </row>
    <row r="766">
      <c r="C766" s="294"/>
    </row>
    <row r="767">
      <c r="C767" s="294"/>
    </row>
    <row r="768">
      <c r="C768" s="294"/>
    </row>
    <row r="769">
      <c r="C769" s="294"/>
    </row>
    <row r="770">
      <c r="C770" s="294"/>
    </row>
    <row r="771">
      <c r="C771" s="294"/>
    </row>
    <row r="772">
      <c r="C772" s="294"/>
    </row>
    <row r="773">
      <c r="C773" s="294"/>
    </row>
    <row r="774">
      <c r="C774" s="294"/>
    </row>
    <row r="775">
      <c r="C775" s="294"/>
    </row>
    <row r="776">
      <c r="C776" s="294"/>
    </row>
    <row r="777">
      <c r="C777" s="294"/>
    </row>
    <row r="778">
      <c r="C778" s="294"/>
    </row>
    <row r="779">
      <c r="C779" s="294"/>
    </row>
    <row r="780">
      <c r="C780" s="294"/>
    </row>
    <row r="781">
      <c r="C781" s="294"/>
    </row>
    <row r="782">
      <c r="C782" s="294"/>
    </row>
    <row r="783">
      <c r="C783" s="294"/>
    </row>
    <row r="784">
      <c r="C784" s="294"/>
    </row>
    <row r="785">
      <c r="C785" s="294"/>
    </row>
    <row r="786">
      <c r="C786" s="294"/>
    </row>
    <row r="787">
      <c r="C787" s="294"/>
    </row>
    <row r="788">
      <c r="C788" s="294"/>
    </row>
    <row r="789">
      <c r="C789" s="294"/>
    </row>
    <row r="790">
      <c r="C790" s="294"/>
    </row>
    <row r="791">
      <c r="C791" s="294"/>
    </row>
    <row r="792">
      <c r="C792" s="294"/>
    </row>
    <row r="793">
      <c r="C793" s="294"/>
    </row>
    <row r="794">
      <c r="C794" s="294"/>
    </row>
    <row r="795">
      <c r="C795" s="294"/>
    </row>
    <row r="796">
      <c r="C796" s="294"/>
    </row>
    <row r="797">
      <c r="C797" s="294"/>
    </row>
    <row r="798">
      <c r="C798" s="294"/>
    </row>
    <row r="799">
      <c r="C799" s="294"/>
    </row>
    <row r="800">
      <c r="C800" s="294"/>
    </row>
    <row r="801">
      <c r="C801" s="294"/>
    </row>
    <row r="802">
      <c r="C802" s="294"/>
    </row>
    <row r="803">
      <c r="C803" s="294"/>
    </row>
    <row r="804">
      <c r="C804" s="294"/>
    </row>
    <row r="805">
      <c r="C805" s="294"/>
    </row>
    <row r="806">
      <c r="C806" s="294"/>
    </row>
    <row r="807">
      <c r="C807" s="294"/>
    </row>
    <row r="808">
      <c r="C808" s="294"/>
    </row>
    <row r="809">
      <c r="C809" s="294"/>
    </row>
    <row r="810">
      <c r="C810" s="294"/>
    </row>
    <row r="811">
      <c r="C811" s="294"/>
    </row>
    <row r="812">
      <c r="C812" s="294"/>
    </row>
    <row r="813">
      <c r="C813" s="294"/>
    </row>
    <row r="814">
      <c r="C814" s="294"/>
    </row>
    <row r="815">
      <c r="C815" s="294"/>
    </row>
    <row r="816">
      <c r="C816" s="294"/>
    </row>
    <row r="817">
      <c r="C817" s="294"/>
    </row>
    <row r="818">
      <c r="C818" s="294"/>
    </row>
    <row r="819">
      <c r="C819" s="294"/>
    </row>
    <row r="820">
      <c r="C820" s="294"/>
    </row>
    <row r="821">
      <c r="C821" s="294"/>
    </row>
    <row r="822">
      <c r="C822" s="294"/>
    </row>
    <row r="823">
      <c r="C823" s="294"/>
    </row>
    <row r="824">
      <c r="C824" s="294"/>
    </row>
    <row r="825">
      <c r="C825" s="294"/>
    </row>
    <row r="826">
      <c r="C826" s="294"/>
    </row>
    <row r="827">
      <c r="C827" s="294"/>
    </row>
    <row r="828">
      <c r="C828" s="294"/>
    </row>
    <row r="829">
      <c r="C829" s="294"/>
    </row>
    <row r="830">
      <c r="C830" s="294"/>
    </row>
    <row r="831">
      <c r="C831" s="294"/>
    </row>
    <row r="832">
      <c r="C832" s="294"/>
    </row>
    <row r="833">
      <c r="C833" s="294"/>
    </row>
    <row r="834">
      <c r="C834" s="294"/>
    </row>
    <row r="835">
      <c r="C835" s="294"/>
    </row>
    <row r="836">
      <c r="C836" s="294"/>
    </row>
    <row r="837">
      <c r="C837" s="294"/>
    </row>
    <row r="838">
      <c r="C838" s="294"/>
    </row>
    <row r="839">
      <c r="C839" s="294"/>
    </row>
    <row r="840">
      <c r="C840" s="294"/>
    </row>
    <row r="841">
      <c r="C841" s="294"/>
    </row>
    <row r="842">
      <c r="C842" s="294"/>
    </row>
    <row r="843">
      <c r="C843" s="294"/>
    </row>
    <row r="844">
      <c r="C844" s="294"/>
    </row>
    <row r="845">
      <c r="C845" s="294"/>
    </row>
    <row r="846">
      <c r="C846" s="294"/>
    </row>
    <row r="847">
      <c r="C847" s="294"/>
    </row>
    <row r="848">
      <c r="C848" s="294"/>
    </row>
    <row r="849">
      <c r="C849" s="294"/>
    </row>
    <row r="850">
      <c r="C850" s="294"/>
    </row>
    <row r="851">
      <c r="C851" s="294"/>
    </row>
    <row r="852">
      <c r="C852" s="294"/>
    </row>
    <row r="853">
      <c r="C853" s="294"/>
    </row>
    <row r="854">
      <c r="C854" s="294"/>
    </row>
    <row r="855">
      <c r="C855" s="294"/>
    </row>
    <row r="856">
      <c r="C856" s="294"/>
    </row>
    <row r="857">
      <c r="C857" s="294"/>
    </row>
    <row r="858">
      <c r="C858" s="294"/>
    </row>
    <row r="859">
      <c r="C859" s="294"/>
    </row>
    <row r="860">
      <c r="C860" s="294"/>
    </row>
    <row r="861">
      <c r="C861" s="294"/>
    </row>
    <row r="862">
      <c r="C862" s="294"/>
    </row>
    <row r="863">
      <c r="C863" s="294"/>
    </row>
    <row r="864">
      <c r="C864" s="294"/>
    </row>
    <row r="865">
      <c r="C865" s="294"/>
    </row>
    <row r="866">
      <c r="C866" s="294"/>
    </row>
    <row r="867">
      <c r="C867" s="294"/>
    </row>
    <row r="868">
      <c r="C868" s="294"/>
    </row>
    <row r="869">
      <c r="C869" s="294"/>
    </row>
    <row r="870">
      <c r="C870" s="294"/>
    </row>
    <row r="871">
      <c r="C871" s="294"/>
    </row>
    <row r="872">
      <c r="C872" s="294"/>
    </row>
    <row r="873">
      <c r="C873" s="294"/>
    </row>
    <row r="874">
      <c r="C874" s="294"/>
    </row>
    <row r="875">
      <c r="C875" s="294"/>
    </row>
    <row r="876">
      <c r="C876" s="294"/>
    </row>
    <row r="877">
      <c r="C877" s="294"/>
    </row>
    <row r="878">
      <c r="C878" s="294"/>
    </row>
    <row r="879">
      <c r="C879" s="294"/>
    </row>
    <row r="880">
      <c r="C880" s="294"/>
    </row>
    <row r="881">
      <c r="C881" s="294"/>
    </row>
    <row r="882">
      <c r="C882" s="294"/>
    </row>
    <row r="883">
      <c r="C883" s="294"/>
    </row>
    <row r="884">
      <c r="C884" s="294"/>
    </row>
    <row r="885">
      <c r="C885" s="294"/>
    </row>
    <row r="886">
      <c r="C886" s="294"/>
    </row>
    <row r="887">
      <c r="C887" s="294"/>
    </row>
    <row r="888">
      <c r="C888" s="294"/>
    </row>
    <row r="889">
      <c r="C889" s="294"/>
    </row>
    <row r="890">
      <c r="C890" s="294"/>
    </row>
    <row r="891">
      <c r="C891" s="294"/>
    </row>
    <row r="892">
      <c r="C892" s="294"/>
    </row>
    <row r="893">
      <c r="C893" s="294"/>
    </row>
    <row r="894">
      <c r="C894" s="294"/>
    </row>
    <row r="895">
      <c r="C895" s="294"/>
    </row>
    <row r="896">
      <c r="C896" s="294"/>
    </row>
    <row r="897">
      <c r="C897" s="294"/>
    </row>
    <row r="898">
      <c r="C898" s="294"/>
    </row>
    <row r="899">
      <c r="C899" s="294"/>
    </row>
    <row r="900">
      <c r="C900" s="294"/>
    </row>
    <row r="901">
      <c r="C901" s="294"/>
    </row>
    <row r="902">
      <c r="C902" s="294"/>
    </row>
    <row r="903">
      <c r="C903" s="294"/>
    </row>
    <row r="904">
      <c r="C904" s="294"/>
    </row>
    <row r="905">
      <c r="C905" s="294"/>
    </row>
    <row r="906">
      <c r="C906" s="294"/>
    </row>
    <row r="907">
      <c r="C907" s="294"/>
    </row>
    <row r="908">
      <c r="C908" s="294"/>
    </row>
    <row r="909">
      <c r="C909" s="294"/>
    </row>
    <row r="910">
      <c r="C910" s="294"/>
    </row>
    <row r="911">
      <c r="C911" s="294"/>
    </row>
    <row r="912">
      <c r="C912" s="294"/>
    </row>
    <row r="913">
      <c r="C913" s="294"/>
    </row>
    <row r="914">
      <c r="C914" s="294"/>
    </row>
    <row r="915">
      <c r="C915" s="294"/>
    </row>
    <row r="916">
      <c r="C916" s="294"/>
    </row>
    <row r="917">
      <c r="C917" s="294"/>
    </row>
    <row r="918">
      <c r="C918" s="294"/>
    </row>
    <row r="919">
      <c r="C919" s="294"/>
    </row>
    <row r="920">
      <c r="C920" s="294"/>
    </row>
    <row r="921">
      <c r="C921" s="294"/>
    </row>
    <row r="922">
      <c r="C922" s="294"/>
    </row>
    <row r="923">
      <c r="C923" s="294"/>
    </row>
    <row r="924">
      <c r="C924" s="294"/>
    </row>
    <row r="925">
      <c r="C925" s="294"/>
    </row>
    <row r="926">
      <c r="C926" s="294"/>
    </row>
    <row r="927">
      <c r="C927" s="294"/>
    </row>
    <row r="928">
      <c r="C928" s="294"/>
    </row>
    <row r="929">
      <c r="C929" s="294"/>
    </row>
    <row r="930">
      <c r="C930" s="294"/>
    </row>
    <row r="931">
      <c r="C931" s="294"/>
    </row>
    <row r="932">
      <c r="C932" s="294"/>
    </row>
    <row r="933">
      <c r="C933" s="294"/>
    </row>
    <row r="934">
      <c r="C934" s="294"/>
    </row>
    <row r="935">
      <c r="C935" s="294"/>
    </row>
    <row r="936">
      <c r="C936" s="294"/>
    </row>
    <row r="937">
      <c r="C937" s="294"/>
    </row>
    <row r="938">
      <c r="C938" s="294"/>
    </row>
    <row r="939">
      <c r="C939" s="294"/>
    </row>
    <row r="940">
      <c r="C940" s="294"/>
    </row>
    <row r="941">
      <c r="C941" s="294"/>
    </row>
    <row r="942">
      <c r="C942" s="294"/>
    </row>
    <row r="943">
      <c r="C943" s="294"/>
    </row>
    <row r="944">
      <c r="C944" s="294"/>
    </row>
    <row r="945">
      <c r="C945" s="294"/>
    </row>
    <row r="946">
      <c r="C946" s="294"/>
    </row>
    <row r="947">
      <c r="C947" s="294"/>
    </row>
    <row r="948">
      <c r="C948" s="294"/>
    </row>
    <row r="949">
      <c r="C949" s="294"/>
    </row>
    <row r="950">
      <c r="C950" s="294"/>
    </row>
    <row r="951">
      <c r="C951" s="294"/>
    </row>
    <row r="952">
      <c r="C952" s="294"/>
    </row>
    <row r="953">
      <c r="C953" s="294"/>
    </row>
    <row r="954">
      <c r="C954" s="294"/>
    </row>
    <row r="955">
      <c r="C955" s="294"/>
    </row>
    <row r="956">
      <c r="C956" s="294"/>
    </row>
    <row r="957">
      <c r="C957" s="294"/>
    </row>
    <row r="958">
      <c r="C958" s="294"/>
    </row>
    <row r="959">
      <c r="C959" s="294"/>
    </row>
    <row r="960">
      <c r="C960" s="294"/>
    </row>
    <row r="961">
      <c r="C961" s="294"/>
    </row>
    <row r="962">
      <c r="C962" s="294"/>
    </row>
    <row r="963">
      <c r="C963" s="294"/>
    </row>
    <row r="964">
      <c r="C964" s="294"/>
    </row>
    <row r="965">
      <c r="C965" s="294"/>
    </row>
    <row r="966">
      <c r="C966" s="294"/>
    </row>
    <row r="967">
      <c r="C967" s="294"/>
    </row>
    <row r="968">
      <c r="C968" s="294"/>
    </row>
    <row r="969">
      <c r="C969" s="294"/>
    </row>
    <row r="970">
      <c r="C970" s="294"/>
    </row>
    <row r="971">
      <c r="C971" s="294"/>
    </row>
    <row r="972">
      <c r="C972" s="294"/>
    </row>
    <row r="973">
      <c r="C973" s="294"/>
    </row>
    <row r="974">
      <c r="C974" s="294"/>
    </row>
    <row r="975">
      <c r="C975" s="294"/>
    </row>
    <row r="976">
      <c r="C976" s="294"/>
    </row>
    <row r="977">
      <c r="C977" s="294"/>
    </row>
    <row r="978">
      <c r="C978" s="294"/>
    </row>
    <row r="979">
      <c r="C979" s="294"/>
    </row>
    <row r="980">
      <c r="C980" s="294"/>
    </row>
    <row r="981">
      <c r="C981" s="294"/>
    </row>
    <row r="982">
      <c r="C982" s="294"/>
    </row>
    <row r="983">
      <c r="C983" s="294"/>
    </row>
    <row r="984">
      <c r="C984" s="294"/>
    </row>
    <row r="985">
      <c r="C985" s="294"/>
    </row>
    <row r="986">
      <c r="C986" s="294"/>
    </row>
    <row r="987">
      <c r="C987" s="294"/>
    </row>
    <row r="988">
      <c r="C988" s="294"/>
    </row>
    <row r="989">
      <c r="C989" s="294"/>
    </row>
    <row r="990">
      <c r="C990" s="294"/>
    </row>
    <row r="991">
      <c r="C991" s="294"/>
    </row>
    <row r="992">
      <c r="C992" s="294"/>
    </row>
    <row r="993">
      <c r="C993" s="294"/>
    </row>
    <row r="994">
      <c r="C994" s="294"/>
    </row>
    <row r="995">
      <c r="C995" s="294"/>
    </row>
    <row r="996">
      <c r="C996" s="294"/>
    </row>
    <row r="997">
      <c r="C997" s="294"/>
    </row>
    <row r="998">
      <c r="C998" s="294"/>
    </row>
    <row r="999">
      <c r="C999" s="294"/>
    </row>
    <row r="1000">
      <c r="C1000" s="294"/>
    </row>
    <row r="1001">
      <c r="C1001" s="294"/>
    </row>
    <row r="1002">
      <c r="C1002" s="294"/>
    </row>
    <row r="1003">
      <c r="C1003" s="294"/>
    </row>
    <row r="1004">
      <c r="C1004" s="294"/>
    </row>
    <row r="1005">
      <c r="C1005" s="29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47.25"/>
    <col customWidth="1" min="3" max="3" width="42.63"/>
  </cols>
  <sheetData>
    <row r="1">
      <c r="A1" s="1"/>
      <c r="B1" s="3"/>
      <c r="C1" s="281"/>
    </row>
    <row r="2">
      <c r="A2" s="282"/>
      <c r="B2" s="24"/>
      <c r="C2" s="283"/>
    </row>
    <row r="3">
      <c r="A3" s="284" t="s">
        <v>376</v>
      </c>
      <c r="B3" s="30"/>
      <c r="C3" s="285"/>
    </row>
    <row r="4">
      <c r="A4" s="165" t="s">
        <v>377</v>
      </c>
      <c r="B4" s="159"/>
      <c r="C4" s="285"/>
    </row>
    <row r="5">
      <c r="A5" s="165" t="s">
        <v>378</v>
      </c>
      <c r="B5" s="286">
        <v>1000.0</v>
      </c>
      <c r="C5" s="285"/>
    </row>
    <row r="6">
      <c r="A6" s="165" t="s">
        <v>379</v>
      </c>
      <c r="B6" s="286">
        <f>B5*12</f>
        <v>12000</v>
      </c>
      <c r="C6" s="285"/>
    </row>
    <row r="7">
      <c r="A7" s="165" t="s">
        <v>380</v>
      </c>
      <c r="B7" s="295">
        <v>20.0</v>
      </c>
      <c r="C7" s="285"/>
    </row>
    <row r="8">
      <c r="A8" s="165" t="s">
        <v>381</v>
      </c>
      <c r="B8" s="286">
        <f>B6*B7</f>
        <v>240000</v>
      </c>
      <c r="C8" s="285"/>
    </row>
    <row r="9">
      <c r="A9" s="165" t="s">
        <v>382</v>
      </c>
      <c r="B9" s="286">
        <f>B8*3%</f>
        <v>7200</v>
      </c>
      <c r="C9" s="287" t="s">
        <v>411</v>
      </c>
    </row>
    <row r="10">
      <c r="A10" s="165" t="s">
        <v>384</v>
      </c>
      <c r="B10" s="43">
        <f>(13%+30%+1/12+1/12/2+1/12/2)</f>
        <v>0.5966666667</v>
      </c>
      <c r="C10" s="288"/>
    </row>
    <row r="11">
      <c r="A11" s="289" t="s">
        <v>385</v>
      </c>
      <c r="B11" s="290">
        <f>B9*(1+B10)</f>
        <v>11496</v>
      </c>
      <c r="C11" s="285"/>
    </row>
    <row r="12">
      <c r="A12" s="165"/>
      <c r="B12" s="286"/>
      <c r="C12" s="287"/>
    </row>
    <row r="13">
      <c r="A13" s="284" t="s">
        <v>386</v>
      </c>
      <c r="B13" s="28"/>
      <c r="C13" s="283"/>
    </row>
    <row r="14">
      <c r="A14" s="165" t="s">
        <v>387</v>
      </c>
      <c r="B14" s="28"/>
      <c r="C14" s="283"/>
    </row>
    <row r="15">
      <c r="A15" s="291" t="s">
        <v>380</v>
      </c>
      <c r="B15" s="296">
        <v>20.0</v>
      </c>
      <c r="C15" s="283"/>
    </row>
    <row r="16">
      <c r="A16" s="291" t="s">
        <v>388</v>
      </c>
      <c r="B16" s="100">
        <v>0.2</v>
      </c>
      <c r="C16" s="287"/>
    </row>
    <row r="17">
      <c r="A17" s="291" t="s">
        <v>389</v>
      </c>
      <c r="B17" s="100">
        <f>(69/3)%</f>
        <v>0.23</v>
      </c>
      <c r="C17" s="287" t="s">
        <v>390</v>
      </c>
    </row>
    <row r="18">
      <c r="A18" s="291" t="s">
        <v>391</v>
      </c>
      <c r="B18" s="100">
        <f>B16*(1-B17)</f>
        <v>0.154</v>
      </c>
      <c r="C18" s="285"/>
    </row>
    <row r="19">
      <c r="A19" s="291" t="s">
        <v>392</v>
      </c>
      <c r="B19" s="24">
        <f>B15*(B16-B18)</f>
        <v>0.92</v>
      </c>
      <c r="C19" s="285"/>
    </row>
    <row r="20">
      <c r="A20" s="291" t="s">
        <v>393</v>
      </c>
      <c r="B20" s="286">
        <v>1000.0</v>
      </c>
      <c r="C20" s="287"/>
    </row>
    <row r="21">
      <c r="A21" s="291" t="s">
        <v>394</v>
      </c>
      <c r="B21" s="100">
        <v>0.15</v>
      </c>
      <c r="C21" s="292" t="s">
        <v>395</v>
      </c>
    </row>
    <row r="22">
      <c r="A22" s="291" t="s">
        <v>396</v>
      </c>
      <c r="B22" s="286">
        <f>B20*12*B21</f>
        <v>1800</v>
      </c>
      <c r="C22" s="283"/>
    </row>
    <row r="23">
      <c r="A23" s="293" t="s">
        <v>397</v>
      </c>
      <c r="B23" s="290">
        <f>B19*B22</f>
        <v>1656</v>
      </c>
      <c r="C23" s="287"/>
    </row>
    <row r="24">
      <c r="A24" s="291"/>
      <c r="B24" s="100"/>
      <c r="C24" s="292"/>
    </row>
    <row r="25">
      <c r="A25" s="284" t="s">
        <v>398</v>
      </c>
      <c r="B25" s="24"/>
      <c r="C25" s="283"/>
    </row>
    <row r="26">
      <c r="A26" s="165" t="s">
        <v>399</v>
      </c>
      <c r="B26" s="94"/>
      <c r="C26" s="287"/>
    </row>
    <row r="27">
      <c r="A27" s="291" t="s">
        <v>400</v>
      </c>
      <c r="B27" s="286">
        <v>1000.0</v>
      </c>
      <c r="C27" s="287"/>
    </row>
    <row r="28">
      <c r="A28" s="291" t="s">
        <v>401</v>
      </c>
      <c r="B28" s="286">
        <f>B27*12</f>
        <v>12000</v>
      </c>
      <c r="C28" s="287"/>
    </row>
    <row r="29">
      <c r="A29" s="291" t="s">
        <v>402</v>
      </c>
      <c r="B29" s="100">
        <v>0.15</v>
      </c>
      <c r="C29" s="292" t="s">
        <v>403</v>
      </c>
    </row>
    <row r="30">
      <c r="A30" s="291" t="s">
        <v>404</v>
      </c>
      <c r="B30" s="286">
        <f>B28*B29</f>
        <v>1800</v>
      </c>
      <c r="C30" s="287"/>
    </row>
    <row r="31">
      <c r="A31" s="291" t="s">
        <v>405</v>
      </c>
      <c r="B31" s="286">
        <f>B30*43%/3</f>
        <v>258</v>
      </c>
      <c r="C31" s="292" t="s">
        <v>406</v>
      </c>
    </row>
    <row r="32">
      <c r="A32" s="291" t="s">
        <v>407</v>
      </c>
      <c r="B32" s="296">
        <v>20.0</v>
      </c>
      <c r="C32" s="283"/>
    </row>
    <row r="33">
      <c r="A33" s="291" t="s">
        <v>408</v>
      </c>
      <c r="B33" s="100">
        <v>0.1</v>
      </c>
      <c r="C33" s="283"/>
    </row>
    <row r="34">
      <c r="A34" s="291" t="s">
        <v>409</v>
      </c>
      <c r="B34" s="28">
        <f>B32*B33</f>
        <v>2</v>
      </c>
      <c r="C34" s="283"/>
    </row>
    <row r="35">
      <c r="A35" s="293" t="s">
        <v>410</v>
      </c>
      <c r="B35" s="290">
        <f>B31*B34</f>
        <v>516</v>
      </c>
      <c r="C35" s="283"/>
    </row>
    <row r="36">
      <c r="C36" s="294"/>
    </row>
    <row r="37">
      <c r="C37" s="294"/>
    </row>
    <row r="38">
      <c r="C38" s="294"/>
    </row>
    <row r="39">
      <c r="C39" s="294"/>
    </row>
    <row r="40">
      <c r="C40" s="294"/>
    </row>
    <row r="41">
      <c r="C41" s="294"/>
    </row>
    <row r="42">
      <c r="C42" s="294"/>
    </row>
    <row r="43">
      <c r="C43" s="294"/>
    </row>
    <row r="44">
      <c r="C44" s="294"/>
    </row>
    <row r="45">
      <c r="C45" s="294"/>
    </row>
    <row r="46">
      <c r="C46" s="294"/>
    </row>
    <row r="47">
      <c r="C47" s="294"/>
    </row>
    <row r="48">
      <c r="C48" s="294"/>
    </row>
    <row r="49">
      <c r="C49" s="294"/>
    </row>
    <row r="50">
      <c r="C50" s="294"/>
    </row>
    <row r="51">
      <c r="C51" s="294"/>
    </row>
    <row r="52">
      <c r="C52" s="294"/>
    </row>
    <row r="53">
      <c r="C53" s="294"/>
    </row>
    <row r="54">
      <c r="C54" s="294"/>
    </row>
    <row r="55">
      <c r="C55" s="294"/>
    </row>
    <row r="56">
      <c r="C56" s="294"/>
    </row>
    <row r="57">
      <c r="C57" s="294"/>
    </row>
    <row r="58">
      <c r="C58" s="294"/>
    </row>
    <row r="59">
      <c r="C59" s="294"/>
    </row>
    <row r="60">
      <c r="C60" s="294"/>
    </row>
    <row r="61">
      <c r="C61" s="294"/>
    </row>
    <row r="62">
      <c r="C62" s="294"/>
    </row>
    <row r="63">
      <c r="C63" s="294"/>
    </row>
    <row r="64">
      <c r="C64" s="294"/>
    </row>
    <row r="65">
      <c r="C65" s="294"/>
    </row>
    <row r="66">
      <c r="C66" s="294"/>
    </row>
    <row r="67">
      <c r="C67" s="294"/>
    </row>
    <row r="68">
      <c r="C68" s="294"/>
    </row>
    <row r="69">
      <c r="C69" s="294"/>
    </row>
    <row r="70">
      <c r="C70" s="294"/>
    </row>
    <row r="71">
      <c r="C71" s="294"/>
    </row>
    <row r="72">
      <c r="C72" s="294"/>
    </row>
    <row r="73">
      <c r="C73" s="294"/>
    </row>
    <row r="74">
      <c r="C74" s="294"/>
    </row>
    <row r="75">
      <c r="C75" s="294"/>
    </row>
    <row r="76">
      <c r="C76" s="294"/>
    </row>
    <row r="77">
      <c r="C77" s="294"/>
    </row>
    <row r="78">
      <c r="C78" s="294"/>
    </row>
    <row r="79">
      <c r="C79" s="294"/>
    </row>
    <row r="80">
      <c r="C80" s="294"/>
    </row>
    <row r="81">
      <c r="C81" s="294"/>
    </row>
    <row r="82">
      <c r="C82" s="294"/>
    </row>
    <row r="83">
      <c r="C83" s="294"/>
    </row>
    <row r="84">
      <c r="C84" s="294"/>
    </row>
    <row r="85">
      <c r="C85" s="294"/>
    </row>
    <row r="86">
      <c r="C86" s="294"/>
    </row>
    <row r="87">
      <c r="C87" s="294"/>
    </row>
    <row r="88">
      <c r="C88" s="294"/>
    </row>
    <row r="89">
      <c r="C89" s="294"/>
    </row>
    <row r="90">
      <c r="C90" s="294"/>
    </row>
    <row r="91">
      <c r="C91" s="294"/>
    </row>
    <row r="92">
      <c r="C92" s="294"/>
    </row>
    <row r="93">
      <c r="C93" s="294"/>
    </row>
    <row r="94">
      <c r="C94" s="294"/>
    </row>
    <row r="95">
      <c r="C95" s="294"/>
    </row>
    <row r="96">
      <c r="C96" s="294"/>
    </row>
    <row r="97">
      <c r="C97" s="294"/>
    </row>
    <row r="98">
      <c r="C98" s="294"/>
    </row>
    <row r="99">
      <c r="C99" s="294"/>
    </row>
    <row r="100">
      <c r="C100" s="294"/>
    </row>
    <row r="101">
      <c r="C101" s="294"/>
    </row>
    <row r="102">
      <c r="C102" s="294"/>
    </row>
    <row r="103">
      <c r="C103" s="294"/>
    </row>
    <row r="104">
      <c r="C104" s="294"/>
    </row>
    <row r="105">
      <c r="C105" s="294"/>
    </row>
    <row r="106">
      <c r="C106" s="294"/>
    </row>
    <row r="107">
      <c r="C107" s="294"/>
    </row>
    <row r="108">
      <c r="C108" s="294"/>
    </row>
    <row r="109">
      <c r="C109" s="294"/>
    </row>
    <row r="110">
      <c r="C110" s="294"/>
    </row>
    <row r="111">
      <c r="C111" s="294"/>
    </row>
    <row r="112">
      <c r="C112" s="294"/>
    </row>
    <row r="113">
      <c r="C113" s="294"/>
    </row>
    <row r="114">
      <c r="C114" s="294"/>
    </row>
    <row r="115">
      <c r="C115" s="294"/>
    </row>
    <row r="116">
      <c r="C116" s="294"/>
    </row>
    <row r="117">
      <c r="C117" s="294"/>
    </row>
    <row r="118">
      <c r="C118" s="294"/>
    </row>
    <row r="119">
      <c r="C119" s="294"/>
    </row>
    <row r="120">
      <c r="C120" s="294"/>
    </row>
    <row r="121">
      <c r="C121" s="294"/>
    </row>
    <row r="122">
      <c r="C122" s="294"/>
    </row>
    <row r="123">
      <c r="C123" s="294"/>
    </row>
    <row r="124">
      <c r="C124" s="294"/>
    </row>
    <row r="125">
      <c r="C125" s="294"/>
    </row>
    <row r="126">
      <c r="C126" s="294"/>
    </row>
    <row r="127">
      <c r="C127" s="294"/>
    </row>
    <row r="128">
      <c r="C128" s="294"/>
    </row>
    <row r="129">
      <c r="C129" s="294"/>
    </row>
    <row r="130">
      <c r="C130" s="294"/>
    </row>
    <row r="131">
      <c r="C131" s="294"/>
    </row>
    <row r="132">
      <c r="C132" s="294"/>
    </row>
    <row r="133">
      <c r="C133" s="294"/>
    </row>
    <row r="134">
      <c r="C134" s="294"/>
    </row>
    <row r="135">
      <c r="C135" s="294"/>
    </row>
    <row r="136">
      <c r="C136" s="294"/>
    </row>
    <row r="137">
      <c r="C137" s="294"/>
    </row>
    <row r="138">
      <c r="C138" s="294"/>
    </row>
    <row r="139">
      <c r="C139" s="294"/>
    </row>
    <row r="140">
      <c r="C140" s="294"/>
    </row>
    <row r="141">
      <c r="C141" s="294"/>
    </row>
    <row r="142">
      <c r="C142" s="294"/>
    </row>
    <row r="143">
      <c r="C143" s="294"/>
    </row>
    <row r="144">
      <c r="C144" s="294"/>
    </row>
    <row r="145">
      <c r="C145" s="294"/>
    </row>
    <row r="146">
      <c r="C146" s="294"/>
    </row>
    <row r="147">
      <c r="C147" s="294"/>
    </row>
    <row r="148">
      <c r="C148" s="294"/>
    </row>
    <row r="149">
      <c r="C149" s="294"/>
    </row>
    <row r="150">
      <c r="C150" s="294"/>
    </row>
    <row r="151">
      <c r="C151" s="294"/>
    </row>
    <row r="152">
      <c r="C152" s="294"/>
    </row>
    <row r="153">
      <c r="C153" s="294"/>
    </row>
    <row r="154">
      <c r="C154" s="294"/>
    </row>
    <row r="155">
      <c r="C155" s="294"/>
    </row>
    <row r="156">
      <c r="C156" s="294"/>
    </row>
    <row r="157">
      <c r="C157" s="294"/>
    </row>
    <row r="158">
      <c r="C158" s="294"/>
    </row>
    <row r="159">
      <c r="C159" s="294"/>
    </row>
    <row r="160">
      <c r="C160" s="294"/>
    </row>
    <row r="161">
      <c r="C161" s="294"/>
    </row>
    <row r="162">
      <c r="C162" s="294"/>
    </row>
    <row r="163">
      <c r="C163" s="294"/>
    </row>
    <row r="164">
      <c r="C164" s="294"/>
    </row>
    <row r="165">
      <c r="C165" s="294"/>
    </row>
    <row r="166">
      <c r="C166" s="294"/>
    </row>
    <row r="167">
      <c r="C167" s="294"/>
    </row>
    <row r="168">
      <c r="C168" s="294"/>
    </row>
    <row r="169">
      <c r="C169" s="294"/>
    </row>
    <row r="170">
      <c r="C170" s="294"/>
    </row>
    <row r="171">
      <c r="C171" s="294"/>
    </row>
    <row r="172">
      <c r="C172" s="294"/>
    </row>
    <row r="173">
      <c r="C173" s="294"/>
    </row>
    <row r="174">
      <c r="C174" s="294"/>
    </row>
    <row r="175">
      <c r="C175" s="294"/>
    </row>
    <row r="176">
      <c r="C176" s="294"/>
    </row>
    <row r="177">
      <c r="C177" s="294"/>
    </row>
    <row r="178">
      <c r="C178" s="294"/>
    </row>
    <row r="179">
      <c r="C179" s="294"/>
    </row>
    <row r="180">
      <c r="C180" s="294"/>
    </row>
    <row r="181">
      <c r="C181" s="294"/>
    </row>
    <row r="182">
      <c r="C182" s="294"/>
    </row>
    <row r="183">
      <c r="C183" s="294"/>
    </row>
    <row r="184">
      <c r="C184" s="294"/>
    </row>
    <row r="185">
      <c r="C185" s="294"/>
    </row>
    <row r="186">
      <c r="C186" s="294"/>
    </row>
    <row r="187">
      <c r="C187" s="294"/>
    </row>
    <row r="188">
      <c r="C188" s="294"/>
    </row>
    <row r="189">
      <c r="C189" s="294"/>
    </row>
    <row r="190">
      <c r="C190" s="294"/>
    </row>
    <row r="191">
      <c r="C191" s="294"/>
    </row>
    <row r="192">
      <c r="C192" s="294"/>
    </row>
    <row r="193">
      <c r="C193" s="294"/>
    </row>
    <row r="194">
      <c r="C194" s="294"/>
    </row>
    <row r="195">
      <c r="C195" s="294"/>
    </row>
    <row r="196">
      <c r="C196" s="294"/>
    </row>
    <row r="197">
      <c r="C197" s="294"/>
    </row>
    <row r="198">
      <c r="C198" s="294"/>
    </row>
    <row r="199">
      <c r="C199" s="294"/>
    </row>
    <row r="200">
      <c r="C200" s="294"/>
    </row>
    <row r="201">
      <c r="C201" s="294"/>
    </row>
    <row r="202">
      <c r="C202" s="294"/>
    </row>
    <row r="203">
      <c r="C203" s="294"/>
    </row>
    <row r="204">
      <c r="C204" s="294"/>
    </row>
    <row r="205">
      <c r="C205" s="294"/>
    </row>
    <row r="206">
      <c r="C206" s="294"/>
    </row>
    <row r="207">
      <c r="C207" s="294"/>
    </row>
    <row r="208">
      <c r="C208" s="294"/>
    </row>
    <row r="209">
      <c r="C209" s="294"/>
    </row>
    <row r="210">
      <c r="C210" s="294"/>
    </row>
    <row r="211">
      <c r="C211" s="294"/>
    </row>
    <row r="212">
      <c r="C212" s="294"/>
    </row>
    <row r="213">
      <c r="C213" s="294"/>
    </row>
    <row r="214">
      <c r="C214" s="294"/>
    </row>
    <row r="215">
      <c r="C215" s="294"/>
    </row>
    <row r="216">
      <c r="C216" s="294"/>
    </row>
    <row r="217">
      <c r="C217" s="294"/>
    </row>
    <row r="218">
      <c r="C218" s="294"/>
    </row>
    <row r="219">
      <c r="C219" s="294"/>
    </row>
    <row r="220">
      <c r="C220" s="294"/>
    </row>
    <row r="221">
      <c r="C221" s="294"/>
    </row>
    <row r="222">
      <c r="C222" s="294"/>
    </row>
    <row r="223">
      <c r="C223" s="294"/>
    </row>
    <row r="224">
      <c r="C224" s="294"/>
    </row>
    <row r="225">
      <c r="C225" s="294"/>
    </row>
    <row r="226">
      <c r="C226" s="294"/>
    </row>
    <row r="227">
      <c r="C227" s="294"/>
    </row>
    <row r="228">
      <c r="C228" s="294"/>
    </row>
    <row r="229">
      <c r="C229" s="294"/>
    </row>
    <row r="230">
      <c r="C230" s="294"/>
    </row>
    <row r="231">
      <c r="C231" s="294"/>
    </row>
    <row r="232">
      <c r="C232" s="294"/>
    </row>
    <row r="233">
      <c r="C233" s="294"/>
    </row>
    <row r="234">
      <c r="C234" s="294"/>
    </row>
    <row r="235">
      <c r="C235" s="294"/>
    </row>
    <row r="236">
      <c r="C236" s="294"/>
    </row>
    <row r="237">
      <c r="C237" s="294"/>
    </row>
    <row r="238">
      <c r="C238" s="294"/>
    </row>
    <row r="239">
      <c r="C239" s="294"/>
    </row>
    <row r="240">
      <c r="C240" s="294"/>
    </row>
    <row r="241">
      <c r="C241" s="294"/>
    </row>
    <row r="242">
      <c r="C242" s="294"/>
    </row>
    <row r="243">
      <c r="C243" s="294"/>
    </row>
    <row r="244">
      <c r="C244" s="294"/>
    </row>
    <row r="245">
      <c r="C245" s="294"/>
    </row>
    <row r="246">
      <c r="C246" s="294"/>
    </row>
    <row r="247">
      <c r="C247" s="294"/>
    </row>
    <row r="248">
      <c r="C248" s="294"/>
    </row>
    <row r="249">
      <c r="C249" s="294"/>
    </row>
    <row r="250">
      <c r="C250" s="294"/>
    </row>
    <row r="251">
      <c r="C251" s="294"/>
    </row>
    <row r="252">
      <c r="C252" s="294"/>
    </row>
    <row r="253">
      <c r="C253" s="294"/>
    </row>
    <row r="254">
      <c r="C254" s="294"/>
    </row>
    <row r="255">
      <c r="C255" s="294"/>
    </row>
    <row r="256">
      <c r="C256" s="294"/>
    </row>
    <row r="257">
      <c r="C257" s="294"/>
    </row>
    <row r="258">
      <c r="C258" s="294"/>
    </row>
    <row r="259">
      <c r="C259" s="294"/>
    </row>
    <row r="260">
      <c r="C260" s="294"/>
    </row>
    <row r="261">
      <c r="C261" s="294"/>
    </row>
    <row r="262">
      <c r="C262" s="294"/>
    </row>
    <row r="263">
      <c r="C263" s="294"/>
    </row>
    <row r="264">
      <c r="C264" s="294"/>
    </row>
    <row r="265">
      <c r="C265" s="294"/>
    </row>
    <row r="266">
      <c r="C266" s="294"/>
    </row>
    <row r="267">
      <c r="C267" s="294"/>
    </row>
    <row r="268">
      <c r="C268" s="294"/>
    </row>
    <row r="269">
      <c r="C269" s="294"/>
    </row>
    <row r="270">
      <c r="C270" s="294"/>
    </row>
    <row r="271">
      <c r="C271" s="294"/>
    </row>
    <row r="272">
      <c r="C272" s="294"/>
    </row>
    <row r="273">
      <c r="C273" s="294"/>
    </row>
    <row r="274">
      <c r="C274" s="294"/>
    </row>
    <row r="275">
      <c r="C275" s="294"/>
    </row>
    <row r="276">
      <c r="C276" s="294"/>
    </row>
    <row r="277">
      <c r="C277" s="294"/>
    </row>
    <row r="278">
      <c r="C278" s="294"/>
    </row>
    <row r="279">
      <c r="C279" s="294"/>
    </row>
    <row r="280">
      <c r="C280" s="294"/>
    </row>
    <row r="281">
      <c r="C281" s="294"/>
    </row>
    <row r="282">
      <c r="C282" s="294"/>
    </row>
    <row r="283">
      <c r="C283" s="294"/>
    </row>
    <row r="284">
      <c r="C284" s="294"/>
    </row>
    <row r="285">
      <c r="C285" s="294"/>
    </row>
    <row r="286">
      <c r="C286" s="294"/>
    </row>
    <row r="287">
      <c r="C287" s="294"/>
    </row>
    <row r="288">
      <c r="C288" s="294"/>
    </row>
    <row r="289">
      <c r="C289" s="294"/>
    </row>
    <row r="290">
      <c r="C290" s="294"/>
    </row>
    <row r="291">
      <c r="C291" s="294"/>
    </row>
    <row r="292">
      <c r="C292" s="294"/>
    </row>
    <row r="293">
      <c r="C293" s="294"/>
    </row>
    <row r="294">
      <c r="C294" s="294"/>
    </row>
    <row r="295">
      <c r="C295" s="294"/>
    </row>
    <row r="296">
      <c r="C296" s="294"/>
    </row>
    <row r="297">
      <c r="C297" s="294"/>
    </row>
    <row r="298">
      <c r="C298" s="294"/>
    </row>
    <row r="299">
      <c r="C299" s="294"/>
    </row>
    <row r="300">
      <c r="C300" s="294"/>
    </row>
    <row r="301">
      <c r="C301" s="294"/>
    </row>
    <row r="302">
      <c r="C302" s="294"/>
    </row>
    <row r="303">
      <c r="C303" s="294"/>
    </row>
    <row r="304">
      <c r="C304" s="294"/>
    </row>
    <row r="305">
      <c r="C305" s="294"/>
    </row>
    <row r="306">
      <c r="C306" s="294"/>
    </row>
    <row r="307">
      <c r="C307" s="294"/>
    </row>
    <row r="308">
      <c r="C308" s="294"/>
    </row>
    <row r="309">
      <c r="C309" s="294"/>
    </row>
    <row r="310">
      <c r="C310" s="294"/>
    </row>
    <row r="311">
      <c r="C311" s="294"/>
    </row>
    <row r="312">
      <c r="C312" s="294"/>
    </row>
    <row r="313">
      <c r="C313" s="294"/>
    </row>
    <row r="314">
      <c r="C314" s="294"/>
    </row>
    <row r="315">
      <c r="C315" s="294"/>
    </row>
    <row r="316">
      <c r="C316" s="294"/>
    </row>
    <row r="317">
      <c r="C317" s="294"/>
    </row>
    <row r="318">
      <c r="C318" s="294"/>
    </row>
    <row r="319">
      <c r="C319" s="294"/>
    </row>
    <row r="320">
      <c r="C320" s="294"/>
    </row>
    <row r="321">
      <c r="C321" s="294"/>
    </row>
    <row r="322">
      <c r="C322" s="294"/>
    </row>
    <row r="323">
      <c r="C323" s="294"/>
    </row>
    <row r="324">
      <c r="C324" s="294"/>
    </row>
    <row r="325">
      <c r="C325" s="294"/>
    </row>
    <row r="326">
      <c r="C326" s="294"/>
    </row>
    <row r="327">
      <c r="C327" s="294"/>
    </row>
    <row r="328">
      <c r="C328" s="294"/>
    </row>
    <row r="329">
      <c r="C329" s="294"/>
    </row>
    <row r="330">
      <c r="C330" s="294"/>
    </row>
    <row r="331">
      <c r="C331" s="294"/>
    </row>
    <row r="332">
      <c r="C332" s="294"/>
    </row>
    <row r="333">
      <c r="C333" s="294"/>
    </row>
    <row r="334">
      <c r="C334" s="294"/>
    </row>
    <row r="335">
      <c r="C335" s="294"/>
    </row>
    <row r="336">
      <c r="C336" s="294"/>
    </row>
    <row r="337">
      <c r="C337" s="294"/>
    </row>
    <row r="338">
      <c r="C338" s="294"/>
    </row>
    <row r="339">
      <c r="C339" s="294"/>
    </row>
    <row r="340">
      <c r="C340" s="294"/>
    </row>
    <row r="341">
      <c r="C341" s="294"/>
    </row>
    <row r="342">
      <c r="C342" s="294"/>
    </row>
    <row r="343">
      <c r="C343" s="294"/>
    </row>
    <row r="344">
      <c r="C344" s="294"/>
    </row>
    <row r="345">
      <c r="C345" s="294"/>
    </row>
    <row r="346">
      <c r="C346" s="294"/>
    </row>
    <row r="347">
      <c r="C347" s="294"/>
    </row>
    <row r="348">
      <c r="C348" s="294"/>
    </row>
    <row r="349">
      <c r="C349" s="294"/>
    </row>
    <row r="350">
      <c r="C350" s="294"/>
    </row>
    <row r="351">
      <c r="C351" s="294"/>
    </row>
    <row r="352">
      <c r="C352" s="294"/>
    </row>
    <row r="353">
      <c r="C353" s="294"/>
    </row>
    <row r="354">
      <c r="C354" s="294"/>
    </row>
    <row r="355">
      <c r="C355" s="294"/>
    </row>
    <row r="356">
      <c r="C356" s="294"/>
    </row>
    <row r="357">
      <c r="C357" s="294"/>
    </row>
    <row r="358">
      <c r="C358" s="294"/>
    </row>
    <row r="359">
      <c r="C359" s="294"/>
    </row>
    <row r="360">
      <c r="C360" s="294"/>
    </row>
    <row r="361">
      <c r="C361" s="294"/>
    </row>
    <row r="362">
      <c r="C362" s="294"/>
    </row>
    <row r="363">
      <c r="C363" s="294"/>
    </row>
    <row r="364">
      <c r="C364" s="294"/>
    </row>
    <row r="365">
      <c r="C365" s="294"/>
    </row>
    <row r="366">
      <c r="C366" s="294"/>
    </row>
    <row r="367">
      <c r="C367" s="294"/>
    </row>
    <row r="368">
      <c r="C368" s="294"/>
    </row>
    <row r="369">
      <c r="C369" s="294"/>
    </row>
    <row r="370">
      <c r="C370" s="294"/>
    </row>
    <row r="371">
      <c r="C371" s="294"/>
    </row>
    <row r="372">
      <c r="C372" s="294"/>
    </row>
    <row r="373">
      <c r="C373" s="294"/>
    </row>
    <row r="374">
      <c r="C374" s="294"/>
    </row>
    <row r="375">
      <c r="C375" s="294"/>
    </row>
    <row r="376">
      <c r="C376" s="294"/>
    </row>
    <row r="377">
      <c r="C377" s="294"/>
    </row>
    <row r="378">
      <c r="C378" s="294"/>
    </row>
    <row r="379">
      <c r="C379" s="294"/>
    </row>
    <row r="380">
      <c r="C380" s="294"/>
    </row>
    <row r="381">
      <c r="C381" s="294"/>
    </row>
    <row r="382">
      <c r="C382" s="294"/>
    </row>
    <row r="383">
      <c r="C383" s="294"/>
    </row>
    <row r="384">
      <c r="C384" s="294"/>
    </row>
    <row r="385">
      <c r="C385" s="294"/>
    </row>
    <row r="386">
      <c r="C386" s="294"/>
    </row>
    <row r="387">
      <c r="C387" s="294"/>
    </row>
    <row r="388">
      <c r="C388" s="294"/>
    </row>
    <row r="389">
      <c r="C389" s="294"/>
    </row>
    <row r="390">
      <c r="C390" s="294"/>
    </row>
    <row r="391">
      <c r="C391" s="294"/>
    </row>
    <row r="392">
      <c r="C392" s="294"/>
    </row>
    <row r="393">
      <c r="C393" s="294"/>
    </row>
    <row r="394">
      <c r="C394" s="294"/>
    </row>
    <row r="395">
      <c r="C395" s="294"/>
    </row>
    <row r="396">
      <c r="C396" s="294"/>
    </row>
    <row r="397">
      <c r="C397" s="294"/>
    </row>
    <row r="398">
      <c r="C398" s="294"/>
    </row>
    <row r="399">
      <c r="C399" s="294"/>
    </row>
    <row r="400">
      <c r="C400" s="294"/>
    </row>
    <row r="401">
      <c r="C401" s="294"/>
    </row>
    <row r="402">
      <c r="C402" s="294"/>
    </row>
    <row r="403">
      <c r="C403" s="294"/>
    </row>
    <row r="404">
      <c r="C404" s="294"/>
    </row>
    <row r="405">
      <c r="C405" s="294"/>
    </row>
    <row r="406">
      <c r="C406" s="294"/>
    </row>
    <row r="407">
      <c r="C407" s="294"/>
    </row>
    <row r="408">
      <c r="C408" s="294"/>
    </row>
    <row r="409">
      <c r="C409" s="294"/>
    </row>
    <row r="410">
      <c r="C410" s="294"/>
    </row>
    <row r="411">
      <c r="C411" s="294"/>
    </row>
    <row r="412">
      <c r="C412" s="294"/>
    </row>
    <row r="413">
      <c r="C413" s="294"/>
    </row>
    <row r="414">
      <c r="C414" s="294"/>
    </row>
    <row r="415">
      <c r="C415" s="294"/>
    </row>
    <row r="416">
      <c r="C416" s="294"/>
    </row>
    <row r="417">
      <c r="C417" s="294"/>
    </row>
    <row r="418">
      <c r="C418" s="294"/>
    </row>
    <row r="419">
      <c r="C419" s="294"/>
    </row>
    <row r="420">
      <c r="C420" s="294"/>
    </row>
    <row r="421">
      <c r="C421" s="294"/>
    </row>
    <row r="422">
      <c r="C422" s="294"/>
    </row>
    <row r="423">
      <c r="C423" s="294"/>
    </row>
    <row r="424">
      <c r="C424" s="294"/>
    </row>
    <row r="425">
      <c r="C425" s="294"/>
    </row>
    <row r="426">
      <c r="C426" s="294"/>
    </row>
    <row r="427">
      <c r="C427" s="294"/>
    </row>
    <row r="428">
      <c r="C428" s="294"/>
    </row>
    <row r="429">
      <c r="C429" s="294"/>
    </row>
    <row r="430">
      <c r="C430" s="294"/>
    </row>
    <row r="431">
      <c r="C431" s="294"/>
    </row>
    <row r="432">
      <c r="C432" s="294"/>
    </row>
    <row r="433">
      <c r="C433" s="294"/>
    </row>
    <row r="434">
      <c r="C434" s="294"/>
    </row>
    <row r="435">
      <c r="C435" s="294"/>
    </row>
    <row r="436">
      <c r="C436" s="294"/>
    </row>
    <row r="437">
      <c r="C437" s="294"/>
    </row>
    <row r="438">
      <c r="C438" s="294"/>
    </row>
    <row r="439">
      <c r="C439" s="294"/>
    </row>
    <row r="440">
      <c r="C440" s="294"/>
    </row>
    <row r="441">
      <c r="C441" s="294"/>
    </row>
    <row r="442">
      <c r="C442" s="294"/>
    </row>
    <row r="443">
      <c r="C443" s="294"/>
    </row>
    <row r="444">
      <c r="C444" s="294"/>
    </row>
    <row r="445">
      <c r="C445" s="294"/>
    </row>
    <row r="446">
      <c r="C446" s="294"/>
    </row>
    <row r="447">
      <c r="C447" s="294"/>
    </row>
    <row r="448">
      <c r="C448" s="294"/>
    </row>
    <row r="449">
      <c r="C449" s="294"/>
    </row>
    <row r="450">
      <c r="C450" s="294"/>
    </row>
    <row r="451">
      <c r="C451" s="294"/>
    </row>
    <row r="452">
      <c r="C452" s="294"/>
    </row>
    <row r="453">
      <c r="C453" s="294"/>
    </row>
    <row r="454">
      <c r="C454" s="294"/>
    </row>
    <row r="455">
      <c r="C455" s="294"/>
    </row>
    <row r="456">
      <c r="C456" s="294"/>
    </row>
    <row r="457">
      <c r="C457" s="294"/>
    </row>
    <row r="458">
      <c r="C458" s="294"/>
    </row>
    <row r="459">
      <c r="C459" s="294"/>
    </row>
    <row r="460">
      <c r="C460" s="294"/>
    </row>
    <row r="461">
      <c r="C461" s="294"/>
    </row>
    <row r="462">
      <c r="C462" s="294"/>
    </row>
    <row r="463">
      <c r="C463" s="294"/>
    </row>
    <row r="464">
      <c r="C464" s="294"/>
    </row>
    <row r="465">
      <c r="C465" s="294"/>
    </row>
    <row r="466">
      <c r="C466" s="294"/>
    </row>
    <row r="467">
      <c r="C467" s="294"/>
    </row>
    <row r="468">
      <c r="C468" s="294"/>
    </row>
    <row r="469">
      <c r="C469" s="294"/>
    </row>
    <row r="470">
      <c r="C470" s="294"/>
    </row>
    <row r="471">
      <c r="C471" s="294"/>
    </row>
    <row r="472">
      <c r="C472" s="294"/>
    </row>
    <row r="473">
      <c r="C473" s="294"/>
    </row>
    <row r="474">
      <c r="C474" s="294"/>
    </row>
    <row r="475">
      <c r="C475" s="294"/>
    </row>
    <row r="476">
      <c r="C476" s="294"/>
    </row>
    <row r="477">
      <c r="C477" s="294"/>
    </row>
    <row r="478">
      <c r="C478" s="294"/>
    </row>
    <row r="479">
      <c r="C479" s="294"/>
    </row>
    <row r="480">
      <c r="C480" s="294"/>
    </row>
    <row r="481">
      <c r="C481" s="294"/>
    </row>
    <row r="482">
      <c r="C482" s="294"/>
    </row>
    <row r="483">
      <c r="C483" s="294"/>
    </row>
    <row r="484">
      <c r="C484" s="294"/>
    </row>
    <row r="485">
      <c r="C485" s="294"/>
    </row>
    <row r="486">
      <c r="C486" s="294"/>
    </row>
    <row r="487">
      <c r="C487" s="294"/>
    </row>
    <row r="488">
      <c r="C488" s="294"/>
    </row>
    <row r="489">
      <c r="C489" s="294"/>
    </row>
    <row r="490">
      <c r="C490" s="294"/>
    </row>
    <row r="491">
      <c r="C491" s="294"/>
    </row>
    <row r="492">
      <c r="C492" s="294"/>
    </row>
    <row r="493">
      <c r="C493" s="294"/>
    </row>
    <row r="494">
      <c r="C494" s="294"/>
    </row>
    <row r="495">
      <c r="C495" s="294"/>
    </row>
    <row r="496">
      <c r="C496" s="294"/>
    </row>
    <row r="497">
      <c r="C497" s="294"/>
    </row>
    <row r="498">
      <c r="C498" s="294"/>
    </row>
    <row r="499">
      <c r="C499" s="294"/>
    </row>
    <row r="500">
      <c r="C500" s="294"/>
    </row>
    <row r="501">
      <c r="C501" s="294"/>
    </row>
    <row r="502">
      <c r="C502" s="294"/>
    </row>
    <row r="503">
      <c r="C503" s="294"/>
    </row>
    <row r="504">
      <c r="C504" s="294"/>
    </row>
    <row r="505">
      <c r="C505" s="294"/>
    </row>
    <row r="506">
      <c r="C506" s="294"/>
    </row>
    <row r="507">
      <c r="C507" s="294"/>
    </row>
    <row r="508">
      <c r="C508" s="294"/>
    </row>
    <row r="509">
      <c r="C509" s="294"/>
    </row>
    <row r="510">
      <c r="C510" s="294"/>
    </row>
    <row r="511">
      <c r="C511" s="294"/>
    </row>
    <row r="512">
      <c r="C512" s="294"/>
    </row>
    <row r="513">
      <c r="C513" s="294"/>
    </row>
    <row r="514">
      <c r="C514" s="294"/>
    </row>
    <row r="515">
      <c r="C515" s="294"/>
    </row>
    <row r="516">
      <c r="C516" s="294"/>
    </row>
    <row r="517">
      <c r="C517" s="294"/>
    </row>
    <row r="518">
      <c r="C518" s="294"/>
    </row>
    <row r="519">
      <c r="C519" s="294"/>
    </row>
    <row r="520">
      <c r="C520" s="294"/>
    </row>
    <row r="521">
      <c r="C521" s="294"/>
    </row>
    <row r="522">
      <c r="C522" s="294"/>
    </row>
    <row r="523">
      <c r="C523" s="294"/>
    </row>
    <row r="524">
      <c r="C524" s="294"/>
    </row>
    <row r="525">
      <c r="C525" s="294"/>
    </row>
    <row r="526">
      <c r="C526" s="294"/>
    </row>
    <row r="527">
      <c r="C527" s="294"/>
    </row>
    <row r="528">
      <c r="C528" s="294"/>
    </row>
    <row r="529">
      <c r="C529" s="294"/>
    </row>
    <row r="530">
      <c r="C530" s="294"/>
    </row>
    <row r="531">
      <c r="C531" s="294"/>
    </row>
    <row r="532">
      <c r="C532" s="294"/>
    </row>
    <row r="533">
      <c r="C533" s="294"/>
    </row>
    <row r="534">
      <c r="C534" s="294"/>
    </row>
    <row r="535">
      <c r="C535" s="294"/>
    </row>
    <row r="536">
      <c r="C536" s="294"/>
    </row>
    <row r="537">
      <c r="C537" s="294"/>
    </row>
    <row r="538">
      <c r="C538" s="294"/>
    </row>
    <row r="539">
      <c r="C539" s="294"/>
    </row>
    <row r="540">
      <c r="C540" s="294"/>
    </row>
    <row r="541">
      <c r="C541" s="294"/>
    </row>
    <row r="542">
      <c r="C542" s="294"/>
    </row>
    <row r="543">
      <c r="C543" s="294"/>
    </row>
    <row r="544">
      <c r="C544" s="294"/>
    </row>
    <row r="545">
      <c r="C545" s="294"/>
    </row>
    <row r="546">
      <c r="C546" s="294"/>
    </row>
    <row r="547">
      <c r="C547" s="294"/>
    </row>
    <row r="548">
      <c r="C548" s="294"/>
    </row>
    <row r="549">
      <c r="C549" s="294"/>
    </row>
    <row r="550">
      <c r="C550" s="294"/>
    </row>
    <row r="551">
      <c r="C551" s="294"/>
    </row>
    <row r="552">
      <c r="C552" s="294"/>
    </row>
    <row r="553">
      <c r="C553" s="294"/>
    </row>
    <row r="554">
      <c r="C554" s="294"/>
    </row>
    <row r="555">
      <c r="C555" s="294"/>
    </row>
    <row r="556">
      <c r="C556" s="294"/>
    </row>
    <row r="557">
      <c r="C557" s="294"/>
    </row>
    <row r="558">
      <c r="C558" s="294"/>
    </row>
    <row r="559">
      <c r="C559" s="294"/>
    </row>
    <row r="560">
      <c r="C560" s="294"/>
    </row>
    <row r="561">
      <c r="C561" s="294"/>
    </row>
    <row r="562">
      <c r="C562" s="294"/>
    </row>
    <row r="563">
      <c r="C563" s="294"/>
    </row>
    <row r="564">
      <c r="C564" s="294"/>
    </row>
    <row r="565">
      <c r="C565" s="294"/>
    </row>
    <row r="566">
      <c r="C566" s="294"/>
    </row>
    <row r="567">
      <c r="C567" s="294"/>
    </row>
    <row r="568">
      <c r="C568" s="294"/>
    </row>
    <row r="569">
      <c r="C569" s="294"/>
    </row>
    <row r="570">
      <c r="C570" s="294"/>
    </row>
    <row r="571">
      <c r="C571" s="294"/>
    </row>
    <row r="572">
      <c r="C572" s="294"/>
    </row>
    <row r="573">
      <c r="C573" s="294"/>
    </row>
    <row r="574">
      <c r="C574" s="294"/>
    </row>
    <row r="575">
      <c r="C575" s="294"/>
    </row>
    <row r="576">
      <c r="C576" s="294"/>
    </row>
    <row r="577">
      <c r="C577" s="294"/>
    </row>
    <row r="578">
      <c r="C578" s="294"/>
    </row>
    <row r="579">
      <c r="C579" s="294"/>
    </row>
    <row r="580">
      <c r="C580" s="294"/>
    </row>
    <row r="581">
      <c r="C581" s="294"/>
    </row>
    <row r="582">
      <c r="C582" s="294"/>
    </row>
    <row r="583">
      <c r="C583" s="294"/>
    </row>
    <row r="584">
      <c r="C584" s="294"/>
    </row>
    <row r="585">
      <c r="C585" s="294"/>
    </row>
    <row r="586">
      <c r="C586" s="294"/>
    </row>
    <row r="587">
      <c r="C587" s="294"/>
    </row>
    <row r="588">
      <c r="C588" s="294"/>
    </row>
    <row r="589">
      <c r="C589" s="294"/>
    </row>
    <row r="590">
      <c r="C590" s="294"/>
    </row>
    <row r="591">
      <c r="C591" s="294"/>
    </row>
    <row r="592">
      <c r="C592" s="294"/>
    </row>
    <row r="593">
      <c r="C593" s="294"/>
    </row>
    <row r="594">
      <c r="C594" s="294"/>
    </row>
    <row r="595">
      <c r="C595" s="294"/>
    </row>
    <row r="596">
      <c r="C596" s="294"/>
    </row>
    <row r="597">
      <c r="C597" s="294"/>
    </row>
    <row r="598">
      <c r="C598" s="294"/>
    </row>
    <row r="599">
      <c r="C599" s="294"/>
    </row>
    <row r="600">
      <c r="C600" s="294"/>
    </row>
    <row r="601">
      <c r="C601" s="294"/>
    </row>
    <row r="602">
      <c r="C602" s="294"/>
    </row>
    <row r="603">
      <c r="C603" s="294"/>
    </row>
    <row r="604">
      <c r="C604" s="294"/>
    </row>
    <row r="605">
      <c r="C605" s="294"/>
    </row>
    <row r="606">
      <c r="C606" s="294"/>
    </row>
    <row r="607">
      <c r="C607" s="294"/>
    </row>
    <row r="608">
      <c r="C608" s="294"/>
    </row>
    <row r="609">
      <c r="C609" s="294"/>
    </row>
    <row r="610">
      <c r="C610" s="294"/>
    </row>
    <row r="611">
      <c r="C611" s="294"/>
    </row>
    <row r="612">
      <c r="C612" s="294"/>
    </row>
    <row r="613">
      <c r="C613" s="294"/>
    </row>
    <row r="614">
      <c r="C614" s="294"/>
    </row>
    <row r="615">
      <c r="C615" s="294"/>
    </row>
    <row r="616">
      <c r="C616" s="294"/>
    </row>
    <row r="617">
      <c r="C617" s="294"/>
    </row>
    <row r="618">
      <c r="C618" s="294"/>
    </row>
    <row r="619">
      <c r="C619" s="294"/>
    </row>
    <row r="620">
      <c r="C620" s="294"/>
    </row>
    <row r="621">
      <c r="C621" s="294"/>
    </row>
    <row r="622">
      <c r="C622" s="294"/>
    </row>
    <row r="623">
      <c r="C623" s="294"/>
    </row>
    <row r="624">
      <c r="C624" s="294"/>
    </row>
    <row r="625">
      <c r="C625" s="294"/>
    </row>
    <row r="626">
      <c r="C626" s="294"/>
    </row>
    <row r="627">
      <c r="C627" s="294"/>
    </row>
    <row r="628">
      <c r="C628" s="294"/>
    </row>
    <row r="629">
      <c r="C629" s="294"/>
    </row>
    <row r="630">
      <c r="C630" s="294"/>
    </row>
    <row r="631">
      <c r="C631" s="294"/>
    </row>
    <row r="632">
      <c r="C632" s="294"/>
    </row>
    <row r="633">
      <c r="C633" s="294"/>
    </row>
    <row r="634">
      <c r="C634" s="294"/>
    </row>
    <row r="635">
      <c r="C635" s="294"/>
    </row>
    <row r="636">
      <c r="C636" s="294"/>
    </row>
    <row r="637">
      <c r="C637" s="294"/>
    </row>
    <row r="638">
      <c r="C638" s="294"/>
    </row>
    <row r="639">
      <c r="C639" s="294"/>
    </row>
    <row r="640">
      <c r="C640" s="294"/>
    </row>
    <row r="641">
      <c r="C641" s="294"/>
    </row>
    <row r="642">
      <c r="C642" s="294"/>
    </row>
    <row r="643">
      <c r="C643" s="294"/>
    </row>
    <row r="644">
      <c r="C644" s="294"/>
    </row>
    <row r="645">
      <c r="C645" s="294"/>
    </row>
    <row r="646">
      <c r="C646" s="294"/>
    </row>
    <row r="647">
      <c r="C647" s="294"/>
    </row>
    <row r="648">
      <c r="C648" s="294"/>
    </row>
    <row r="649">
      <c r="C649" s="294"/>
    </row>
    <row r="650">
      <c r="C650" s="294"/>
    </row>
    <row r="651">
      <c r="C651" s="294"/>
    </row>
    <row r="652">
      <c r="C652" s="294"/>
    </row>
    <row r="653">
      <c r="C653" s="294"/>
    </row>
    <row r="654">
      <c r="C654" s="294"/>
    </row>
    <row r="655">
      <c r="C655" s="294"/>
    </row>
    <row r="656">
      <c r="C656" s="294"/>
    </row>
    <row r="657">
      <c r="C657" s="294"/>
    </row>
    <row r="658">
      <c r="C658" s="294"/>
    </row>
    <row r="659">
      <c r="C659" s="294"/>
    </row>
    <row r="660">
      <c r="C660" s="294"/>
    </row>
    <row r="661">
      <c r="C661" s="294"/>
    </row>
    <row r="662">
      <c r="C662" s="294"/>
    </row>
    <row r="663">
      <c r="C663" s="294"/>
    </row>
    <row r="664">
      <c r="C664" s="294"/>
    </row>
    <row r="665">
      <c r="C665" s="294"/>
    </row>
    <row r="666">
      <c r="C666" s="294"/>
    </row>
    <row r="667">
      <c r="C667" s="294"/>
    </row>
    <row r="668">
      <c r="C668" s="294"/>
    </row>
    <row r="669">
      <c r="C669" s="294"/>
    </row>
    <row r="670">
      <c r="C670" s="294"/>
    </row>
    <row r="671">
      <c r="C671" s="294"/>
    </row>
    <row r="672">
      <c r="C672" s="294"/>
    </row>
    <row r="673">
      <c r="C673" s="294"/>
    </row>
    <row r="674">
      <c r="C674" s="294"/>
    </row>
    <row r="675">
      <c r="C675" s="294"/>
    </row>
    <row r="676">
      <c r="C676" s="294"/>
    </row>
    <row r="677">
      <c r="C677" s="294"/>
    </row>
    <row r="678">
      <c r="C678" s="294"/>
    </row>
    <row r="679">
      <c r="C679" s="294"/>
    </row>
    <row r="680">
      <c r="C680" s="294"/>
    </row>
    <row r="681">
      <c r="C681" s="294"/>
    </row>
    <row r="682">
      <c r="C682" s="294"/>
    </row>
    <row r="683">
      <c r="C683" s="294"/>
    </row>
    <row r="684">
      <c r="C684" s="294"/>
    </row>
    <row r="685">
      <c r="C685" s="294"/>
    </row>
    <row r="686">
      <c r="C686" s="294"/>
    </row>
    <row r="687">
      <c r="C687" s="294"/>
    </row>
    <row r="688">
      <c r="C688" s="294"/>
    </row>
    <row r="689">
      <c r="C689" s="294"/>
    </row>
    <row r="690">
      <c r="C690" s="294"/>
    </row>
    <row r="691">
      <c r="C691" s="294"/>
    </row>
    <row r="692">
      <c r="C692" s="294"/>
    </row>
    <row r="693">
      <c r="C693" s="294"/>
    </row>
    <row r="694">
      <c r="C694" s="294"/>
    </row>
    <row r="695">
      <c r="C695" s="294"/>
    </row>
    <row r="696">
      <c r="C696" s="294"/>
    </row>
    <row r="697">
      <c r="C697" s="294"/>
    </row>
    <row r="698">
      <c r="C698" s="294"/>
    </row>
    <row r="699">
      <c r="C699" s="294"/>
    </row>
    <row r="700">
      <c r="C700" s="294"/>
    </row>
    <row r="701">
      <c r="C701" s="294"/>
    </row>
    <row r="702">
      <c r="C702" s="294"/>
    </row>
    <row r="703">
      <c r="C703" s="294"/>
    </row>
    <row r="704">
      <c r="C704" s="294"/>
    </row>
    <row r="705">
      <c r="C705" s="294"/>
    </row>
    <row r="706">
      <c r="C706" s="294"/>
    </row>
    <row r="707">
      <c r="C707" s="294"/>
    </row>
    <row r="708">
      <c r="C708" s="294"/>
    </row>
    <row r="709">
      <c r="C709" s="294"/>
    </row>
    <row r="710">
      <c r="C710" s="294"/>
    </row>
    <row r="711">
      <c r="C711" s="294"/>
    </row>
    <row r="712">
      <c r="C712" s="294"/>
    </row>
    <row r="713">
      <c r="C713" s="294"/>
    </row>
    <row r="714">
      <c r="C714" s="294"/>
    </row>
    <row r="715">
      <c r="C715" s="294"/>
    </row>
    <row r="716">
      <c r="C716" s="294"/>
    </row>
    <row r="717">
      <c r="C717" s="294"/>
    </row>
    <row r="718">
      <c r="C718" s="294"/>
    </row>
    <row r="719">
      <c r="C719" s="294"/>
    </row>
    <row r="720">
      <c r="C720" s="294"/>
    </row>
    <row r="721">
      <c r="C721" s="294"/>
    </row>
    <row r="722">
      <c r="C722" s="294"/>
    </row>
    <row r="723">
      <c r="C723" s="294"/>
    </row>
    <row r="724">
      <c r="C724" s="294"/>
    </row>
    <row r="725">
      <c r="C725" s="294"/>
    </row>
    <row r="726">
      <c r="C726" s="294"/>
    </row>
    <row r="727">
      <c r="C727" s="294"/>
    </row>
    <row r="728">
      <c r="C728" s="294"/>
    </row>
    <row r="729">
      <c r="C729" s="294"/>
    </row>
    <row r="730">
      <c r="C730" s="294"/>
    </row>
    <row r="731">
      <c r="C731" s="294"/>
    </row>
    <row r="732">
      <c r="C732" s="294"/>
    </row>
    <row r="733">
      <c r="C733" s="294"/>
    </row>
    <row r="734">
      <c r="C734" s="294"/>
    </row>
    <row r="735">
      <c r="C735" s="294"/>
    </row>
    <row r="736">
      <c r="C736" s="294"/>
    </row>
    <row r="737">
      <c r="C737" s="294"/>
    </row>
    <row r="738">
      <c r="C738" s="294"/>
    </row>
    <row r="739">
      <c r="C739" s="294"/>
    </row>
    <row r="740">
      <c r="C740" s="294"/>
    </row>
    <row r="741">
      <c r="C741" s="294"/>
    </row>
    <row r="742">
      <c r="C742" s="294"/>
    </row>
    <row r="743">
      <c r="C743" s="294"/>
    </row>
    <row r="744">
      <c r="C744" s="294"/>
    </row>
    <row r="745">
      <c r="C745" s="294"/>
    </row>
    <row r="746">
      <c r="C746" s="294"/>
    </row>
    <row r="747">
      <c r="C747" s="294"/>
    </row>
    <row r="748">
      <c r="C748" s="294"/>
    </row>
    <row r="749">
      <c r="C749" s="294"/>
    </row>
    <row r="750">
      <c r="C750" s="294"/>
    </row>
    <row r="751">
      <c r="C751" s="294"/>
    </row>
    <row r="752">
      <c r="C752" s="294"/>
    </row>
    <row r="753">
      <c r="C753" s="294"/>
    </row>
    <row r="754">
      <c r="C754" s="294"/>
    </row>
    <row r="755">
      <c r="C755" s="294"/>
    </row>
    <row r="756">
      <c r="C756" s="294"/>
    </row>
    <row r="757">
      <c r="C757" s="294"/>
    </row>
    <row r="758">
      <c r="C758" s="294"/>
    </row>
    <row r="759">
      <c r="C759" s="294"/>
    </row>
    <row r="760">
      <c r="C760" s="294"/>
    </row>
    <row r="761">
      <c r="C761" s="294"/>
    </row>
    <row r="762">
      <c r="C762" s="294"/>
    </row>
    <row r="763">
      <c r="C763" s="294"/>
    </row>
    <row r="764">
      <c r="C764" s="294"/>
    </row>
    <row r="765">
      <c r="C765" s="294"/>
    </row>
    <row r="766">
      <c r="C766" s="294"/>
    </row>
    <row r="767">
      <c r="C767" s="294"/>
    </row>
    <row r="768">
      <c r="C768" s="294"/>
    </row>
    <row r="769">
      <c r="C769" s="294"/>
    </row>
    <row r="770">
      <c r="C770" s="294"/>
    </row>
    <row r="771">
      <c r="C771" s="294"/>
    </row>
    <row r="772">
      <c r="C772" s="294"/>
    </row>
    <row r="773">
      <c r="C773" s="294"/>
    </row>
    <row r="774">
      <c r="C774" s="294"/>
    </row>
    <row r="775">
      <c r="C775" s="294"/>
    </row>
    <row r="776">
      <c r="C776" s="294"/>
    </row>
    <row r="777">
      <c r="C777" s="294"/>
    </row>
    <row r="778">
      <c r="C778" s="294"/>
    </row>
    <row r="779">
      <c r="C779" s="294"/>
    </row>
    <row r="780">
      <c r="C780" s="294"/>
    </row>
    <row r="781">
      <c r="C781" s="294"/>
    </row>
    <row r="782">
      <c r="C782" s="294"/>
    </row>
    <row r="783">
      <c r="C783" s="294"/>
    </row>
    <row r="784">
      <c r="C784" s="294"/>
    </row>
    <row r="785">
      <c r="C785" s="294"/>
    </row>
    <row r="786">
      <c r="C786" s="294"/>
    </row>
    <row r="787">
      <c r="C787" s="294"/>
    </row>
    <row r="788">
      <c r="C788" s="294"/>
    </row>
    <row r="789">
      <c r="C789" s="294"/>
    </row>
    <row r="790">
      <c r="C790" s="294"/>
    </row>
    <row r="791">
      <c r="C791" s="294"/>
    </row>
    <row r="792">
      <c r="C792" s="294"/>
    </row>
    <row r="793">
      <c r="C793" s="294"/>
    </row>
    <row r="794">
      <c r="C794" s="294"/>
    </row>
    <row r="795">
      <c r="C795" s="294"/>
    </row>
    <row r="796">
      <c r="C796" s="294"/>
    </row>
    <row r="797">
      <c r="C797" s="294"/>
    </row>
    <row r="798">
      <c r="C798" s="294"/>
    </row>
    <row r="799">
      <c r="C799" s="294"/>
    </row>
    <row r="800">
      <c r="C800" s="294"/>
    </row>
    <row r="801">
      <c r="C801" s="294"/>
    </row>
    <row r="802">
      <c r="C802" s="294"/>
    </row>
    <row r="803">
      <c r="C803" s="294"/>
    </row>
    <row r="804">
      <c r="C804" s="294"/>
    </row>
    <row r="805">
      <c r="C805" s="294"/>
    </row>
    <row r="806">
      <c r="C806" s="294"/>
    </row>
    <row r="807">
      <c r="C807" s="294"/>
    </row>
    <row r="808">
      <c r="C808" s="294"/>
    </row>
    <row r="809">
      <c r="C809" s="294"/>
    </row>
    <row r="810">
      <c r="C810" s="294"/>
    </row>
    <row r="811">
      <c r="C811" s="294"/>
    </row>
    <row r="812">
      <c r="C812" s="294"/>
    </row>
    <row r="813">
      <c r="C813" s="294"/>
    </row>
    <row r="814">
      <c r="C814" s="294"/>
    </row>
    <row r="815">
      <c r="C815" s="294"/>
    </row>
    <row r="816">
      <c r="C816" s="294"/>
    </row>
    <row r="817">
      <c r="C817" s="294"/>
    </row>
    <row r="818">
      <c r="C818" s="294"/>
    </row>
    <row r="819">
      <c r="C819" s="294"/>
    </row>
    <row r="820">
      <c r="C820" s="294"/>
    </row>
    <row r="821">
      <c r="C821" s="294"/>
    </row>
    <row r="822">
      <c r="C822" s="294"/>
    </row>
    <row r="823">
      <c r="C823" s="294"/>
    </row>
    <row r="824">
      <c r="C824" s="294"/>
    </row>
    <row r="825">
      <c r="C825" s="294"/>
    </row>
    <row r="826">
      <c r="C826" s="294"/>
    </row>
    <row r="827">
      <c r="C827" s="294"/>
    </row>
    <row r="828">
      <c r="C828" s="294"/>
    </row>
    <row r="829">
      <c r="C829" s="294"/>
    </row>
    <row r="830">
      <c r="C830" s="294"/>
    </row>
    <row r="831">
      <c r="C831" s="294"/>
    </row>
    <row r="832">
      <c r="C832" s="294"/>
    </row>
    <row r="833">
      <c r="C833" s="294"/>
    </row>
    <row r="834">
      <c r="C834" s="294"/>
    </row>
    <row r="835">
      <c r="C835" s="294"/>
    </row>
    <row r="836">
      <c r="C836" s="294"/>
    </row>
    <row r="837">
      <c r="C837" s="294"/>
    </row>
    <row r="838">
      <c r="C838" s="294"/>
    </row>
    <row r="839">
      <c r="C839" s="294"/>
    </row>
    <row r="840">
      <c r="C840" s="294"/>
    </row>
    <row r="841">
      <c r="C841" s="294"/>
    </row>
    <row r="842">
      <c r="C842" s="294"/>
    </row>
    <row r="843">
      <c r="C843" s="294"/>
    </row>
    <row r="844">
      <c r="C844" s="294"/>
    </row>
    <row r="845">
      <c r="C845" s="294"/>
    </row>
    <row r="846">
      <c r="C846" s="294"/>
    </row>
    <row r="847">
      <c r="C847" s="294"/>
    </row>
    <row r="848">
      <c r="C848" s="294"/>
    </row>
    <row r="849">
      <c r="C849" s="294"/>
    </row>
    <row r="850">
      <c r="C850" s="294"/>
    </row>
    <row r="851">
      <c r="C851" s="294"/>
    </row>
    <row r="852">
      <c r="C852" s="294"/>
    </row>
    <row r="853">
      <c r="C853" s="294"/>
    </row>
    <row r="854">
      <c r="C854" s="294"/>
    </row>
    <row r="855">
      <c r="C855" s="294"/>
    </row>
    <row r="856">
      <c r="C856" s="294"/>
    </row>
    <row r="857">
      <c r="C857" s="294"/>
    </row>
    <row r="858">
      <c r="C858" s="294"/>
    </row>
    <row r="859">
      <c r="C859" s="294"/>
    </row>
    <row r="860">
      <c r="C860" s="294"/>
    </row>
    <row r="861">
      <c r="C861" s="294"/>
    </row>
    <row r="862">
      <c r="C862" s="294"/>
    </row>
    <row r="863">
      <c r="C863" s="294"/>
    </row>
    <row r="864">
      <c r="C864" s="294"/>
    </row>
    <row r="865">
      <c r="C865" s="294"/>
    </row>
    <row r="866">
      <c r="C866" s="294"/>
    </row>
    <row r="867">
      <c r="C867" s="294"/>
    </row>
    <row r="868">
      <c r="C868" s="294"/>
    </row>
    <row r="869">
      <c r="C869" s="294"/>
    </row>
    <row r="870">
      <c r="C870" s="294"/>
    </row>
    <row r="871">
      <c r="C871" s="294"/>
    </row>
    <row r="872">
      <c r="C872" s="294"/>
    </row>
    <row r="873">
      <c r="C873" s="294"/>
    </row>
    <row r="874">
      <c r="C874" s="294"/>
    </row>
    <row r="875">
      <c r="C875" s="294"/>
    </row>
    <row r="876">
      <c r="C876" s="294"/>
    </row>
    <row r="877">
      <c r="C877" s="294"/>
    </row>
    <row r="878">
      <c r="C878" s="294"/>
    </row>
    <row r="879">
      <c r="C879" s="294"/>
    </row>
    <row r="880">
      <c r="C880" s="294"/>
    </row>
    <row r="881">
      <c r="C881" s="294"/>
    </row>
    <row r="882">
      <c r="C882" s="294"/>
    </row>
    <row r="883">
      <c r="C883" s="294"/>
    </row>
    <row r="884">
      <c r="C884" s="294"/>
    </row>
    <row r="885">
      <c r="C885" s="294"/>
    </row>
    <row r="886">
      <c r="C886" s="294"/>
    </row>
    <row r="887">
      <c r="C887" s="294"/>
    </row>
    <row r="888">
      <c r="C888" s="294"/>
    </row>
    <row r="889">
      <c r="C889" s="294"/>
    </row>
    <row r="890">
      <c r="C890" s="294"/>
    </row>
    <row r="891">
      <c r="C891" s="294"/>
    </row>
    <row r="892">
      <c r="C892" s="294"/>
    </row>
    <row r="893">
      <c r="C893" s="294"/>
    </row>
    <row r="894">
      <c r="C894" s="294"/>
    </row>
    <row r="895">
      <c r="C895" s="294"/>
    </row>
    <row r="896">
      <c r="C896" s="294"/>
    </row>
    <row r="897">
      <c r="C897" s="294"/>
    </row>
    <row r="898">
      <c r="C898" s="294"/>
    </row>
    <row r="899">
      <c r="C899" s="294"/>
    </row>
    <row r="900">
      <c r="C900" s="294"/>
    </row>
    <row r="901">
      <c r="C901" s="294"/>
    </row>
    <row r="902">
      <c r="C902" s="294"/>
    </row>
    <row r="903">
      <c r="C903" s="294"/>
    </row>
    <row r="904">
      <c r="C904" s="294"/>
    </row>
    <row r="905">
      <c r="C905" s="294"/>
    </row>
    <row r="906">
      <c r="C906" s="294"/>
    </row>
    <row r="907">
      <c r="C907" s="294"/>
    </row>
    <row r="908">
      <c r="C908" s="294"/>
    </row>
    <row r="909">
      <c r="C909" s="294"/>
    </row>
    <row r="910">
      <c r="C910" s="294"/>
    </row>
    <row r="911">
      <c r="C911" s="294"/>
    </row>
    <row r="912">
      <c r="C912" s="294"/>
    </row>
    <row r="913">
      <c r="C913" s="294"/>
    </row>
    <row r="914">
      <c r="C914" s="294"/>
    </row>
    <row r="915">
      <c r="C915" s="294"/>
    </row>
    <row r="916">
      <c r="C916" s="294"/>
    </row>
    <row r="917">
      <c r="C917" s="294"/>
    </row>
    <row r="918">
      <c r="C918" s="294"/>
    </row>
    <row r="919">
      <c r="C919" s="294"/>
    </row>
    <row r="920">
      <c r="C920" s="294"/>
    </row>
    <row r="921">
      <c r="C921" s="294"/>
    </row>
    <row r="922">
      <c r="C922" s="294"/>
    </row>
    <row r="923">
      <c r="C923" s="294"/>
    </row>
    <row r="924">
      <c r="C924" s="294"/>
    </row>
    <row r="925">
      <c r="C925" s="294"/>
    </row>
    <row r="926">
      <c r="C926" s="294"/>
    </row>
    <row r="927">
      <c r="C927" s="294"/>
    </row>
    <row r="928">
      <c r="C928" s="294"/>
    </row>
    <row r="929">
      <c r="C929" s="294"/>
    </row>
    <row r="930">
      <c r="C930" s="294"/>
    </row>
    <row r="931">
      <c r="C931" s="294"/>
    </row>
    <row r="932">
      <c r="C932" s="294"/>
    </row>
    <row r="933">
      <c r="C933" s="294"/>
    </row>
    <row r="934">
      <c r="C934" s="294"/>
    </row>
    <row r="935">
      <c r="C935" s="294"/>
    </row>
    <row r="936">
      <c r="C936" s="294"/>
    </row>
    <row r="937">
      <c r="C937" s="294"/>
    </row>
    <row r="938">
      <c r="C938" s="294"/>
    </row>
    <row r="939">
      <c r="C939" s="294"/>
    </row>
    <row r="940">
      <c r="C940" s="294"/>
    </row>
    <row r="941">
      <c r="C941" s="294"/>
    </row>
    <row r="942">
      <c r="C942" s="294"/>
    </row>
    <row r="943">
      <c r="C943" s="294"/>
    </row>
    <row r="944">
      <c r="C944" s="294"/>
    </row>
    <row r="945">
      <c r="C945" s="294"/>
    </row>
    <row r="946">
      <c r="C946" s="294"/>
    </row>
    <row r="947">
      <c r="C947" s="294"/>
    </row>
    <row r="948">
      <c r="C948" s="294"/>
    </row>
    <row r="949">
      <c r="C949" s="294"/>
    </row>
    <row r="950">
      <c r="C950" s="294"/>
    </row>
    <row r="951">
      <c r="C951" s="294"/>
    </row>
    <row r="952">
      <c r="C952" s="294"/>
    </row>
    <row r="953">
      <c r="C953" s="294"/>
    </row>
    <row r="954">
      <c r="C954" s="294"/>
    </row>
    <row r="955">
      <c r="C955" s="294"/>
    </row>
    <row r="956">
      <c r="C956" s="294"/>
    </row>
    <row r="957">
      <c r="C957" s="294"/>
    </row>
    <row r="958">
      <c r="C958" s="294"/>
    </row>
    <row r="959">
      <c r="C959" s="294"/>
    </row>
    <row r="960">
      <c r="C960" s="294"/>
    </row>
    <row r="961">
      <c r="C961" s="294"/>
    </row>
    <row r="962">
      <c r="C962" s="294"/>
    </row>
    <row r="963">
      <c r="C963" s="294"/>
    </row>
    <row r="964">
      <c r="C964" s="294"/>
    </row>
    <row r="965">
      <c r="C965" s="294"/>
    </row>
    <row r="966">
      <c r="C966" s="294"/>
    </row>
    <row r="967">
      <c r="C967" s="294"/>
    </row>
    <row r="968">
      <c r="C968" s="294"/>
    </row>
    <row r="969">
      <c r="C969" s="294"/>
    </row>
    <row r="970">
      <c r="C970" s="294"/>
    </row>
    <row r="971">
      <c r="C971" s="294"/>
    </row>
    <row r="972">
      <c r="C972" s="294"/>
    </row>
    <row r="973">
      <c r="C973" s="294"/>
    </row>
    <row r="974">
      <c r="C974" s="294"/>
    </row>
    <row r="975">
      <c r="C975" s="294"/>
    </row>
    <row r="976">
      <c r="C976" s="294"/>
    </row>
    <row r="977">
      <c r="C977" s="294"/>
    </row>
    <row r="978">
      <c r="C978" s="294"/>
    </row>
    <row r="979">
      <c r="C979" s="294"/>
    </row>
    <row r="980">
      <c r="C980" s="294"/>
    </row>
    <row r="981">
      <c r="C981" s="294"/>
    </row>
    <row r="982">
      <c r="C982" s="294"/>
    </row>
    <row r="983">
      <c r="C983" s="294"/>
    </row>
    <row r="984">
      <c r="C984" s="294"/>
    </row>
    <row r="985">
      <c r="C985" s="294"/>
    </row>
    <row r="986">
      <c r="C986" s="294"/>
    </row>
    <row r="987">
      <c r="C987" s="294"/>
    </row>
    <row r="988">
      <c r="C988" s="294"/>
    </row>
    <row r="989">
      <c r="C989" s="294"/>
    </row>
    <row r="990">
      <c r="C990" s="294"/>
    </row>
    <row r="991">
      <c r="C991" s="294"/>
    </row>
    <row r="992">
      <c r="C992" s="294"/>
    </row>
    <row r="993">
      <c r="C993" s="294"/>
    </row>
    <row r="994">
      <c r="C994" s="294"/>
    </row>
    <row r="995">
      <c r="C995" s="294"/>
    </row>
    <row r="996">
      <c r="C996" s="294"/>
    </row>
    <row r="997">
      <c r="C997" s="294"/>
    </row>
    <row r="998">
      <c r="C998" s="294"/>
    </row>
    <row r="999">
      <c r="C999" s="294"/>
    </row>
    <row r="1000">
      <c r="C1000" s="294"/>
    </row>
    <row r="1001">
      <c r="C1001" s="294"/>
    </row>
    <row r="1002">
      <c r="C1002" s="294"/>
    </row>
    <row r="1003">
      <c r="C1003" s="294"/>
    </row>
    <row r="1004">
      <c r="C1004" s="294"/>
    </row>
    <row r="1005">
      <c r="C1005" s="29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3.75"/>
  </cols>
  <sheetData>
    <row r="1">
      <c r="A1" s="297" t="s">
        <v>412</v>
      </c>
      <c r="B1" s="297" t="s">
        <v>413</v>
      </c>
    </row>
    <row r="2">
      <c r="A2" s="26">
        <v>1.0</v>
      </c>
      <c r="B2" s="26" t="s">
        <v>414</v>
      </c>
    </row>
    <row r="3">
      <c r="A3" s="26">
        <v>2.0</v>
      </c>
      <c r="B3" s="26" t="s">
        <v>415</v>
      </c>
    </row>
    <row r="4">
      <c r="A4" s="26">
        <v>3.0</v>
      </c>
      <c r="B4" s="26" t="s">
        <v>416</v>
      </c>
    </row>
    <row r="5">
      <c r="A5" s="26">
        <v>4.0</v>
      </c>
      <c r="B5" s="26" t="s">
        <v>417</v>
      </c>
    </row>
  </sheetData>
  <drawing r:id="rId1"/>
</worksheet>
</file>